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7cba8a58531f1ba/0_논문/0_머신러닝을 이용한 바이오폴리머 섬유 크기예측/실험 데이터/gemini/"/>
    </mc:Choice>
  </mc:AlternateContent>
  <xr:revisionPtr revIDLastSave="504" documentId="11_AD4D066CA252ABDACC1048371163408749B8DF53" xr6:coauthVersionLast="47" xr6:coauthVersionMax="47" xr10:uidLastSave="{B5504134-0DE2-4423-8B14-FD363196A4AC}"/>
  <bookViews>
    <workbookView xWindow="28680" yWindow="-2655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9" i="1"/>
  <c r="V70" i="1"/>
  <c r="V71" i="1"/>
  <c r="V73" i="1"/>
  <c r="V74" i="1"/>
  <c r="V75" i="1"/>
  <c r="V76" i="1"/>
  <c r="V77" i="1"/>
  <c r="V78" i="1"/>
  <c r="V80" i="1"/>
  <c r="V81" i="1"/>
  <c r="V82" i="1"/>
  <c r="V83" i="1"/>
  <c r="V84" i="1"/>
  <c r="V85" i="1"/>
  <c r="V87" i="1"/>
  <c r="V88" i="1"/>
  <c r="V89" i="1"/>
  <c r="V90" i="1"/>
  <c r="V91" i="1"/>
  <c r="V92" i="1"/>
  <c r="V93" i="1"/>
  <c r="V94" i="1"/>
  <c r="V95" i="1"/>
  <c r="V96" i="1"/>
  <c r="V97" i="1"/>
  <c r="V2" i="1"/>
</calcChain>
</file>

<file path=xl/sharedStrings.xml><?xml version="1.0" encoding="utf-8"?>
<sst xmlns="http://schemas.openxmlformats.org/spreadsheetml/2006/main" count="534" uniqueCount="99">
  <si>
    <t>no</t>
    <phoneticPr fontId="1" type="noConversion"/>
  </si>
  <si>
    <t>polymer1</t>
    <phoneticPr fontId="1" type="noConversion"/>
  </si>
  <si>
    <t>polymer2</t>
    <phoneticPr fontId="1" type="noConversion"/>
  </si>
  <si>
    <t>pcl</t>
    <phoneticPr fontId="1" type="noConversion"/>
  </si>
  <si>
    <t>gelatin</t>
    <phoneticPr fontId="2" type="noConversion"/>
  </si>
  <si>
    <t>poly_percent</t>
    <phoneticPr fontId="1" type="noConversion"/>
  </si>
  <si>
    <t>poly2_percent</t>
    <phoneticPr fontId="1" type="noConversion"/>
  </si>
  <si>
    <t>solvent2</t>
    <phoneticPr fontId="1" type="noConversion"/>
  </si>
  <si>
    <t>solvent1</t>
    <phoneticPr fontId="1" type="noConversion"/>
  </si>
  <si>
    <t>Glacial acetic acid</t>
  </si>
  <si>
    <t>Acetic acid</t>
  </si>
  <si>
    <t>chloroform</t>
  </si>
  <si>
    <t>DCM</t>
    <phoneticPr fontId="2" type="noConversion"/>
  </si>
  <si>
    <t>glacial acetic acid</t>
  </si>
  <si>
    <t>acetone</t>
  </si>
  <si>
    <t>DMSO</t>
  </si>
  <si>
    <t>DCM</t>
  </si>
  <si>
    <t>THF</t>
  </si>
  <si>
    <t>Methanol</t>
  </si>
  <si>
    <t>Formic acid</t>
  </si>
  <si>
    <t>TFE</t>
    <phoneticPr fontId="1" type="noConversion"/>
  </si>
  <si>
    <t>DMF</t>
    <phoneticPr fontId="1" type="noConversion"/>
  </si>
  <si>
    <t>HFIP</t>
    <phoneticPr fontId="1" type="noConversion"/>
  </si>
  <si>
    <t>THF</t>
    <phoneticPr fontId="1" type="noConversion"/>
  </si>
  <si>
    <t>solv1_ratio</t>
    <phoneticPr fontId="1" type="noConversion"/>
  </si>
  <si>
    <t>solv2_ratio</t>
    <phoneticPr fontId="1" type="noConversion"/>
  </si>
  <si>
    <t>15</t>
  </si>
  <si>
    <t>14</t>
  </si>
  <si>
    <t>25</t>
  </si>
  <si>
    <t>13</t>
  </si>
  <si>
    <t>20</t>
  </si>
  <si>
    <t>10</t>
  </si>
  <si>
    <t>12</t>
  </si>
  <si>
    <t>voltage (kV)</t>
    <phoneticPr fontId="1" type="noConversion"/>
  </si>
  <si>
    <t>distance(cm)</t>
    <phoneticPr fontId="1" type="noConversion"/>
  </si>
  <si>
    <t>1</t>
  </si>
  <si>
    <t>0.4</t>
  </si>
  <si>
    <t>0.001</t>
  </si>
  <si>
    <t>0.7</t>
  </si>
  <si>
    <t>4</t>
  </si>
  <si>
    <t>2</t>
  </si>
  <si>
    <t>1.3</t>
  </si>
  <si>
    <t>0.2</t>
  </si>
  <si>
    <t>flor rate(ml/hr)</t>
    <phoneticPr fontId="1" type="noConversion"/>
  </si>
  <si>
    <t>temperature</t>
    <phoneticPr fontId="1" type="noConversion"/>
  </si>
  <si>
    <t>Relative humidity</t>
    <phoneticPr fontId="1" type="noConversion"/>
  </si>
  <si>
    <t>Bead</t>
    <phoneticPr fontId="1" type="noConversion"/>
  </si>
  <si>
    <t>diameter(um)</t>
    <phoneticPr fontId="1" type="noConversion"/>
  </si>
  <si>
    <t>pcl</t>
    <phoneticPr fontId="2" type="noConversion"/>
  </si>
  <si>
    <t>DMF</t>
    <phoneticPr fontId="2" type="noConversion"/>
  </si>
  <si>
    <t>Chloroform</t>
    <phoneticPr fontId="2" type="noConversion"/>
  </si>
  <si>
    <t>HFIP</t>
    <phoneticPr fontId="2" type="noConversion"/>
  </si>
  <si>
    <t>gelatin</t>
    <phoneticPr fontId="1" type="noConversion"/>
  </si>
  <si>
    <t>lactic acid</t>
    <phoneticPr fontId="1" type="noConversion"/>
  </si>
  <si>
    <t>formic acid</t>
    <phoneticPr fontId="1" type="noConversion"/>
  </si>
  <si>
    <t>exp20-26</t>
    <phoneticPr fontId="1" type="noConversion"/>
  </si>
  <si>
    <t>HFIP</t>
  </si>
  <si>
    <t>9,5</t>
  </si>
  <si>
    <t>Poly HSP (D, P, H)</t>
  </si>
  <si>
    <t>Solv HSP (D, P, H)</t>
  </si>
  <si>
    <t>(17.7, 6.2, 7.8)</t>
  </si>
  <si>
    <t>(14.5, 8.0, 13.5)</t>
  </si>
  <si>
    <t>(15.4, 9.4, 16.7)</t>
  </si>
  <si>
    <t>(17.8, 3.1, 5.7)</t>
  </si>
  <si>
    <t>(16.4, 6.1, 14.3)</t>
  </si>
  <si>
    <t>(18.1, 10.3, 14.2)</t>
  </si>
  <si>
    <t>(18.2, 6.3, 6.1)</t>
  </si>
  <si>
    <t>(16.8, 5.7, 8.0)</t>
  </si>
  <si>
    <t>Ra</t>
  </si>
  <si>
    <t>(17.72, 5.22, 6.82)</t>
  </si>
  <si>
    <t>(17.86, 4.43, 6.15)</t>
  </si>
  <si>
    <t>(17.92, 5.76, 6.6)</t>
  </si>
  <si>
    <t>(17.98, 7.09, 7.05)</t>
  </si>
  <si>
    <t>(18.04, 8.42, 7.5)</t>
  </si>
  <si>
    <t>(18.1, 9.75, 7.95)</t>
  </si>
  <si>
    <t>(18.22, 7.31, 6.51)</t>
  </si>
  <si>
    <t>(18.24, 8.32, 6.92)</t>
  </si>
  <si>
    <t>(18.26, 9.33, 7.33)</t>
  </si>
  <si>
    <t>(18.28, 10.34, 7.74)</t>
  </si>
  <si>
    <t>(18.3, 11.35, 8.15)</t>
  </si>
  <si>
    <t>(16.96, 6.77, 8.22)</t>
  </si>
  <si>
    <t>(17.12, 7.84, 8.44)</t>
  </si>
  <si>
    <t>(17.28, 8.91, 8.66)</t>
  </si>
  <si>
    <t>(17.44, 9.98, 8.88)</t>
  </si>
  <si>
    <t>(17.6, 11.05, 9.1)</t>
  </si>
  <si>
    <t>(17.86, 7.84, 10.36)</t>
  </si>
  <si>
    <t>(14.7, 8.48, 12.2)</t>
  </si>
  <si>
    <t>(17.12, 5.4, 9.85)</t>
  </si>
  <si>
    <t>(17.1, 9.7, 9.65)</t>
  </si>
  <si>
    <t>(14.4, 9.95, 15.05)</t>
  </si>
  <si>
    <t>(17.94, 8.66, 11.64)</t>
  </si>
  <si>
    <t>(18.02, 9.48, 12.92)</t>
  </si>
  <si>
    <t>(17.6, 11.85, 10.0)</t>
  </si>
  <si>
    <t>(17.6, 8.4, 8.5)</t>
  </si>
  <si>
    <t>(18.5, 14.4, 20.6)</t>
  </si>
  <si>
    <t>(16.43, 6.21, 15.0)</t>
  </si>
  <si>
    <t>(15.3, 9.6, 16.7)</t>
    <phoneticPr fontId="1" type="noConversion"/>
  </si>
  <si>
    <t>(16.0, 7.0, 14.7)</t>
    <phoneticPr fontId="1" type="noConversion"/>
  </si>
  <si>
    <t>Pseudo Berry constant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</si>
</sst>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7"/>
  <sheetViews>
    <sheetView tabSelected="1" topLeftCell="G1" workbookViewId="0">
      <selection activeCell="V9" sqref="V9"/>
    </sheetView>
  </sheetViews>
  <sheetFormatPr defaultRowHeight="16.5" x14ac:dyDescent="0.3"/>
  <cols>
    <col min="1" max="1" width="9.25" style="1" bestFit="1" customWidth="1"/>
    <col min="2" max="2" width="3.75" style="1" bestFit="1" customWidth="1"/>
    <col min="3" max="4" width="9.375" style="1" bestFit="1" customWidth="1"/>
    <col min="5" max="5" width="12.5" style="1" bestFit="1" customWidth="1"/>
    <col min="6" max="6" width="13.625" style="1" bestFit="1" customWidth="1"/>
    <col min="7" max="7" width="17.625" style="1" bestFit="1" customWidth="1"/>
    <col min="8" max="8" width="11.375" style="1" bestFit="1" customWidth="1"/>
    <col min="9" max="10" width="10.375" style="1" bestFit="1" customWidth="1"/>
    <col min="11" max="11" width="12.125" style="1" customWidth="1"/>
    <col min="12" max="12" width="12.5" style="1" customWidth="1"/>
    <col min="13" max="13" width="14.625" style="1" customWidth="1"/>
    <col min="14" max="14" width="12.125" style="1" bestFit="1" customWidth="1"/>
    <col min="15" max="15" width="16.875" style="1" customWidth="1"/>
    <col min="16" max="16" width="5.75" style="1" bestFit="1" customWidth="1"/>
    <col min="17" max="17" width="13.375" style="1" customWidth="1"/>
    <col min="18" max="18" width="9" style="1" customWidth="1"/>
    <col min="19" max="19" width="17.75" style="1" bestFit="1" customWidth="1"/>
    <col min="20" max="20" width="17.625" style="1" bestFit="1" customWidth="1"/>
    <col min="21" max="21" width="6.5" style="1" bestFit="1" customWidth="1"/>
    <col min="22" max="22" width="21.625" style="1" bestFit="1" customWidth="1"/>
    <col min="23" max="16384" width="9" style="1"/>
  </cols>
  <sheetData>
    <row r="1" spans="2:22" x14ac:dyDescent="0.3">
      <c r="B1" s="1" t="s">
        <v>0</v>
      </c>
      <c r="C1" s="1" t="s">
        <v>1</v>
      </c>
      <c r="D1" s="1" t="s">
        <v>2</v>
      </c>
      <c r="E1" s="1" t="s">
        <v>5</v>
      </c>
      <c r="F1" s="1" t="s">
        <v>6</v>
      </c>
      <c r="G1" s="1" t="s">
        <v>8</v>
      </c>
      <c r="H1" s="1" t="s">
        <v>7</v>
      </c>
      <c r="I1" s="1" t="s">
        <v>24</v>
      </c>
      <c r="J1" s="1" t="s">
        <v>25</v>
      </c>
      <c r="K1" s="1" t="s">
        <v>33</v>
      </c>
      <c r="L1" s="1" t="s">
        <v>34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S1" s="1" t="s">
        <v>58</v>
      </c>
      <c r="T1" s="1" t="s">
        <v>59</v>
      </c>
      <c r="U1" s="1" t="s">
        <v>68</v>
      </c>
      <c r="V1" s="1" t="s">
        <v>98</v>
      </c>
    </row>
    <row r="2" spans="2:22" x14ac:dyDescent="0.3">
      <c r="B2" s="1">
        <v>1</v>
      </c>
      <c r="C2" s="1" t="s">
        <v>3</v>
      </c>
      <c r="E2" s="1">
        <v>20</v>
      </c>
      <c r="G2" s="1" t="s">
        <v>9</v>
      </c>
      <c r="I2" s="1">
        <v>1</v>
      </c>
      <c r="J2" s="1">
        <v>0</v>
      </c>
      <c r="K2" s="1">
        <v>15</v>
      </c>
      <c r="L2" s="1">
        <v>11</v>
      </c>
      <c r="M2" s="1">
        <v>0.4</v>
      </c>
      <c r="N2" s="1">
        <v>25</v>
      </c>
      <c r="O2" s="1">
        <v>40</v>
      </c>
      <c r="P2" s="1">
        <v>0</v>
      </c>
      <c r="Q2" s="1">
        <v>1.6</v>
      </c>
      <c r="S2" s="1" t="s">
        <v>60</v>
      </c>
      <c r="T2" s="1" t="s">
        <v>61</v>
      </c>
      <c r="U2" s="1">
        <v>8.76</v>
      </c>
      <c r="V2" s="1">
        <f>(E2+F2)/U2</f>
        <v>2.2831050228310503</v>
      </c>
    </row>
    <row r="3" spans="2:22" x14ac:dyDescent="0.3">
      <c r="B3" s="1">
        <v>2</v>
      </c>
      <c r="C3" s="1" t="s">
        <v>3</v>
      </c>
      <c r="E3" s="1">
        <v>10</v>
      </c>
      <c r="G3" s="1" t="s">
        <v>11</v>
      </c>
      <c r="H3" s="1" t="s">
        <v>21</v>
      </c>
      <c r="I3" s="1">
        <v>0.8</v>
      </c>
      <c r="J3" s="1">
        <v>0.2</v>
      </c>
      <c r="K3" s="1">
        <v>20</v>
      </c>
      <c r="L3" s="1">
        <v>15</v>
      </c>
      <c r="M3" s="1">
        <v>1</v>
      </c>
      <c r="N3" s="1">
        <v>25</v>
      </c>
      <c r="P3" s="1">
        <v>0</v>
      </c>
      <c r="Q3" s="1">
        <v>0.3</v>
      </c>
      <c r="S3" s="1" t="s">
        <v>60</v>
      </c>
      <c r="T3" s="1" t="s">
        <v>69</v>
      </c>
      <c r="U3" s="1">
        <v>1.39</v>
      </c>
      <c r="V3" s="1">
        <f t="shared" ref="V3:V66" si="0">(E3+F3)/U3</f>
        <v>7.1942446043165473</v>
      </c>
    </row>
    <row r="4" spans="2:22" x14ac:dyDescent="0.3">
      <c r="B4" s="1">
        <v>3</v>
      </c>
      <c r="C4" s="1" t="s">
        <v>3</v>
      </c>
      <c r="E4" s="1">
        <v>20</v>
      </c>
      <c r="G4" s="1" t="s">
        <v>10</v>
      </c>
      <c r="I4" s="1">
        <v>1</v>
      </c>
      <c r="J4" s="1">
        <v>0</v>
      </c>
      <c r="K4" s="1">
        <v>15</v>
      </c>
      <c r="L4" s="1">
        <v>11</v>
      </c>
      <c r="M4" s="1">
        <v>0.4</v>
      </c>
      <c r="N4" s="1">
        <v>25</v>
      </c>
      <c r="O4" s="1">
        <v>40</v>
      </c>
      <c r="P4" s="1">
        <v>0</v>
      </c>
      <c r="Q4" s="1">
        <v>1.3</v>
      </c>
      <c r="S4" s="1" t="s">
        <v>60</v>
      </c>
      <c r="T4" s="1" t="s">
        <v>61</v>
      </c>
      <c r="U4" s="1">
        <v>8.76</v>
      </c>
      <c r="V4" s="1">
        <f t="shared" si="0"/>
        <v>2.2831050228310503</v>
      </c>
    </row>
    <row r="5" spans="2:22" x14ac:dyDescent="0.3">
      <c r="B5" s="1">
        <v>4</v>
      </c>
      <c r="C5" s="1" t="s">
        <v>3</v>
      </c>
      <c r="D5" s="1" t="s">
        <v>4</v>
      </c>
      <c r="E5" s="1">
        <v>5</v>
      </c>
      <c r="F5" s="1">
        <v>5</v>
      </c>
      <c r="G5" s="1" t="s">
        <v>20</v>
      </c>
      <c r="H5" s="1" t="s">
        <v>10</v>
      </c>
      <c r="I5" s="1">
        <v>1</v>
      </c>
      <c r="J5" s="1">
        <v>0</v>
      </c>
      <c r="K5" s="1">
        <v>20</v>
      </c>
      <c r="L5" s="1">
        <v>18</v>
      </c>
      <c r="M5" s="1">
        <v>3</v>
      </c>
      <c r="P5" s="1">
        <v>0</v>
      </c>
      <c r="Q5" s="1">
        <v>0.5</v>
      </c>
      <c r="S5" s="1" t="s">
        <v>65</v>
      </c>
      <c r="T5" s="1" t="s">
        <v>62</v>
      </c>
      <c r="U5" s="1">
        <v>6.02</v>
      </c>
      <c r="V5" s="1">
        <f t="shared" si="0"/>
        <v>1.6611295681063125</v>
      </c>
    </row>
    <row r="6" spans="2:22" x14ac:dyDescent="0.3">
      <c r="B6" s="1">
        <v>5</v>
      </c>
      <c r="C6" s="1" t="s">
        <v>3</v>
      </c>
      <c r="D6" s="1" t="s">
        <v>4</v>
      </c>
      <c r="E6" s="1">
        <v>5</v>
      </c>
      <c r="F6" s="1">
        <v>5</v>
      </c>
      <c r="G6" s="1" t="s">
        <v>20</v>
      </c>
      <c r="I6" s="1">
        <v>1</v>
      </c>
      <c r="J6" s="1">
        <v>0</v>
      </c>
      <c r="K6" s="1">
        <v>22</v>
      </c>
      <c r="L6" s="1">
        <v>18</v>
      </c>
      <c r="M6" s="1">
        <v>0.5</v>
      </c>
      <c r="P6" s="1">
        <v>0</v>
      </c>
      <c r="Q6" s="1">
        <v>1.302</v>
      </c>
      <c r="S6" s="1" t="s">
        <v>65</v>
      </c>
      <c r="T6" s="1" t="s">
        <v>62</v>
      </c>
      <c r="U6" s="1">
        <v>6.02</v>
      </c>
      <c r="V6" s="1">
        <f t="shared" si="0"/>
        <v>1.6611295681063125</v>
      </c>
    </row>
    <row r="7" spans="2:22" x14ac:dyDescent="0.3">
      <c r="B7" s="1">
        <v>6</v>
      </c>
      <c r="C7" s="1" t="s">
        <v>3</v>
      </c>
      <c r="E7" s="1">
        <v>12.5</v>
      </c>
      <c r="G7" s="1" t="s">
        <v>11</v>
      </c>
      <c r="I7" s="1">
        <v>1</v>
      </c>
      <c r="J7" s="1">
        <v>0</v>
      </c>
      <c r="K7" s="1">
        <v>15</v>
      </c>
      <c r="L7" s="1">
        <v>20</v>
      </c>
      <c r="M7" s="1">
        <v>1</v>
      </c>
      <c r="N7" s="1">
        <v>20</v>
      </c>
      <c r="O7" s="1">
        <v>35</v>
      </c>
      <c r="P7" s="1">
        <v>0</v>
      </c>
      <c r="Q7" s="1">
        <v>0.6</v>
      </c>
      <c r="S7" s="1" t="s">
        <v>60</v>
      </c>
      <c r="T7" s="1" t="s">
        <v>63</v>
      </c>
      <c r="U7" s="1">
        <v>3.75</v>
      </c>
      <c r="V7" s="1">
        <f t="shared" si="0"/>
        <v>3.3333333333333335</v>
      </c>
    </row>
    <row r="8" spans="2:22" x14ac:dyDescent="0.3">
      <c r="B8" s="1">
        <v>7</v>
      </c>
      <c r="C8" s="1" t="s">
        <v>3</v>
      </c>
      <c r="E8" s="1">
        <v>12.5</v>
      </c>
      <c r="G8" s="1" t="s">
        <v>11</v>
      </c>
      <c r="H8" s="1" t="s">
        <v>15</v>
      </c>
      <c r="I8" s="1">
        <v>1</v>
      </c>
      <c r="K8" s="1" t="s">
        <v>26</v>
      </c>
      <c r="L8" s="1">
        <v>20</v>
      </c>
      <c r="M8" s="1" t="s">
        <v>35</v>
      </c>
      <c r="N8" s="1">
        <v>20</v>
      </c>
      <c r="O8" s="1">
        <v>35</v>
      </c>
      <c r="P8" s="1">
        <v>1</v>
      </c>
      <c r="Q8" s="1">
        <v>0.6</v>
      </c>
      <c r="S8" s="1" t="s">
        <v>60</v>
      </c>
      <c r="T8" s="1" t="s">
        <v>63</v>
      </c>
      <c r="U8" s="1">
        <v>3.75</v>
      </c>
      <c r="V8" s="1">
        <f t="shared" si="0"/>
        <v>3.3333333333333335</v>
      </c>
    </row>
    <row r="9" spans="2:22" x14ac:dyDescent="0.3">
      <c r="B9" s="1">
        <v>8</v>
      </c>
      <c r="C9" s="1" t="s">
        <v>3</v>
      </c>
      <c r="E9" s="1">
        <v>12.5</v>
      </c>
      <c r="G9" s="1" t="s">
        <v>11</v>
      </c>
      <c r="H9" s="1" t="s">
        <v>15</v>
      </c>
      <c r="I9" s="1">
        <v>0.9</v>
      </c>
      <c r="J9" s="1">
        <v>0.1</v>
      </c>
      <c r="K9" s="1" t="s">
        <v>26</v>
      </c>
      <c r="L9" s="1">
        <v>20</v>
      </c>
      <c r="M9" s="1" t="s">
        <v>35</v>
      </c>
      <c r="N9" s="1">
        <v>20</v>
      </c>
      <c r="O9" s="1">
        <v>35</v>
      </c>
      <c r="P9" s="1">
        <v>0</v>
      </c>
      <c r="Q9" s="1">
        <v>2.27</v>
      </c>
      <c r="S9" s="1" t="s">
        <v>60</v>
      </c>
      <c r="T9" s="1" t="s">
        <v>70</v>
      </c>
      <c r="U9" s="1">
        <v>2.44</v>
      </c>
      <c r="V9" s="1">
        <f t="shared" si="0"/>
        <v>5.1229508196721314</v>
      </c>
    </row>
    <row r="10" spans="2:22" x14ac:dyDescent="0.3">
      <c r="B10" s="1">
        <v>9</v>
      </c>
      <c r="C10" s="1" t="s">
        <v>3</v>
      </c>
      <c r="E10" s="1">
        <v>12.5</v>
      </c>
      <c r="G10" s="1" t="s">
        <v>11</v>
      </c>
      <c r="H10" s="1" t="s">
        <v>15</v>
      </c>
      <c r="I10" s="1">
        <v>0.8</v>
      </c>
      <c r="J10" s="1">
        <v>0.2</v>
      </c>
      <c r="K10" s="1" t="s">
        <v>26</v>
      </c>
      <c r="L10" s="1">
        <v>20</v>
      </c>
      <c r="M10" s="1" t="s">
        <v>35</v>
      </c>
      <c r="N10" s="1">
        <v>20</v>
      </c>
      <c r="O10" s="1">
        <v>35</v>
      </c>
      <c r="P10" s="1">
        <v>0</v>
      </c>
      <c r="Q10" s="1">
        <v>1.47</v>
      </c>
      <c r="S10" s="1" t="s">
        <v>60</v>
      </c>
      <c r="T10" s="1" t="s">
        <v>71</v>
      </c>
      <c r="U10" s="1">
        <v>1.35</v>
      </c>
      <c r="V10" s="1">
        <f t="shared" si="0"/>
        <v>9.2592592592592595</v>
      </c>
    </row>
    <row r="11" spans="2:22" x14ac:dyDescent="0.3">
      <c r="B11" s="1">
        <v>10</v>
      </c>
      <c r="C11" s="1" t="s">
        <v>3</v>
      </c>
      <c r="E11" s="1">
        <v>12.5</v>
      </c>
      <c r="G11" s="1" t="s">
        <v>11</v>
      </c>
      <c r="H11" s="1" t="s">
        <v>15</v>
      </c>
      <c r="I11" s="1">
        <v>0.7</v>
      </c>
      <c r="J11" s="1">
        <v>0.3</v>
      </c>
      <c r="K11" s="1" t="s">
        <v>26</v>
      </c>
      <c r="L11" s="1">
        <v>20</v>
      </c>
      <c r="M11" s="1" t="s">
        <v>35</v>
      </c>
      <c r="N11" s="1">
        <v>20</v>
      </c>
      <c r="O11" s="1">
        <v>35</v>
      </c>
      <c r="P11" s="1">
        <v>0</v>
      </c>
      <c r="Q11" s="1">
        <v>2.12</v>
      </c>
      <c r="S11" s="1" t="s">
        <v>60</v>
      </c>
      <c r="T11" s="1" t="s">
        <v>72</v>
      </c>
      <c r="U11" s="1">
        <v>1.29</v>
      </c>
      <c r="V11" s="1">
        <f t="shared" si="0"/>
        <v>9.6899224806201545</v>
      </c>
    </row>
    <row r="12" spans="2:22" x14ac:dyDescent="0.3">
      <c r="B12" s="1">
        <v>11</v>
      </c>
      <c r="C12" s="1" t="s">
        <v>3</v>
      </c>
      <c r="E12" s="1">
        <v>12.5</v>
      </c>
      <c r="G12" s="1" t="s">
        <v>11</v>
      </c>
      <c r="H12" s="1" t="s">
        <v>15</v>
      </c>
      <c r="I12" s="1">
        <v>0.6</v>
      </c>
      <c r="J12" s="1">
        <v>0.4</v>
      </c>
      <c r="K12" s="1" t="s">
        <v>26</v>
      </c>
      <c r="L12" s="1">
        <v>20</v>
      </c>
      <c r="M12" s="1" t="s">
        <v>35</v>
      </c>
      <c r="N12" s="1">
        <v>20</v>
      </c>
      <c r="O12" s="1">
        <v>35</v>
      </c>
      <c r="P12" s="1">
        <v>0</v>
      </c>
      <c r="Q12" s="1">
        <v>0.65</v>
      </c>
      <c r="S12" s="1" t="s">
        <v>60</v>
      </c>
      <c r="T12" s="1" t="s">
        <v>73</v>
      </c>
      <c r="U12" s="1">
        <v>2.34</v>
      </c>
      <c r="V12" s="1">
        <f t="shared" si="0"/>
        <v>5.3418803418803424</v>
      </c>
    </row>
    <row r="13" spans="2:22" x14ac:dyDescent="0.3">
      <c r="B13" s="1">
        <v>12</v>
      </c>
      <c r="C13" s="1" t="s">
        <v>3</v>
      </c>
      <c r="E13" s="1">
        <v>12.5</v>
      </c>
      <c r="G13" s="1" t="s">
        <v>11</v>
      </c>
      <c r="H13" s="1" t="s">
        <v>15</v>
      </c>
      <c r="I13" s="1">
        <v>0.5</v>
      </c>
      <c r="J13" s="1">
        <v>0.5</v>
      </c>
      <c r="K13" s="1" t="s">
        <v>26</v>
      </c>
      <c r="L13" s="1">
        <v>20</v>
      </c>
      <c r="M13" s="1" t="s">
        <v>35</v>
      </c>
      <c r="N13" s="1">
        <v>20</v>
      </c>
      <c r="O13" s="1">
        <v>35</v>
      </c>
      <c r="P13" s="1">
        <v>0</v>
      </c>
      <c r="Q13" s="1">
        <v>0.55000000000000004</v>
      </c>
      <c r="S13" s="1" t="s">
        <v>60</v>
      </c>
      <c r="T13" s="1" t="s">
        <v>74</v>
      </c>
      <c r="U13" s="1">
        <v>3.64</v>
      </c>
      <c r="V13" s="1">
        <f t="shared" si="0"/>
        <v>3.4340659340659339</v>
      </c>
    </row>
    <row r="14" spans="2:22" x14ac:dyDescent="0.3">
      <c r="B14" s="1">
        <v>13</v>
      </c>
      <c r="C14" s="1" t="s">
        <v>3</v>
      </c>
      <c r="E14" s="1">
        <v>12.5</v>
      </c>
      <c r="G14" s="1" t="s">
        <v>16</v>
      </c>
      <c r="H14" s="1" t="s">
        <v>15</v>
      </c>
      <c r="I14" s="1">
        <v>1</v>
      </c>
      <c r="K14" s="1" t="s">
        <v>26</v>
      </c>
      <c r="L14" s="1">
        <v>20</v>
      </c>
      <c r="M14" s="1" t="s">
        <v>35</v>
      </c>
      <c r="N14" s="1">
        <v>20</v>
      </c>
      <c r="O14" s="1">
        <v>35</v>
      </c>
      <c r="P14" s="1">
        <v>0</v>
      </c>
      <c r="Q14" s="1">
        <v>1.55</v>
      </c>
      <c r="S14" s="1" t="s">
        <v>60</v>
      </c>
      <c r="T14" s="1" t="s">
        <v>66</v>
      </c>
      <c r="U14" s="1">
        <v>1.97</v>
      </c>
      <c r="V14" s="1">
        <f t="shared" si="0"/>
        <v>6.345177664974619</v>
      </c>
    </row>
    <row r="15" spans="2:22" x14ac:dyDescent="0.3">
      <c r="B15" s="1">
        <v>14</v>
      </c>
      <c r="C15" s="1" t="s">
        <v>3</v>
      </c>
      <c r="E15" s="1">
        <v>12.5</v>
      </c>
      <c r="G15" s="1" t="s">
        <v>16</v>
      </c>
      <c r="H15" s="1" t="s">
        <v>15</v>
      </c>
      <c r="I15" s="1">
        <v>0.9</v>
      </c>
      <c r="J15" s="1">
        <v>0.1</v>
      </c>
      <c r="K15" s="1" t="s">
        <v>26</v>
      </c>
      <c r="L15" s="1">
        <v>20</v>
      </c>
      <c r="M15" s="1" t="s">
        <v>35</v>
      </c>
      <c r="N15" s="1">
        <v>20</v>
      </c>
      <c r="O15" s="1">
        <v>35</v>
      </c>
      <c r="P15" s="1">
        <v>1</v>
      </c>
      <c r="Q15" s="1">
        <v>0.6</v>
      </c>
      <c r="S15" s="1" t="s">
        <v>60</v>
      </c>
      <c r="T15" s="1" t="s">
        <v>75</v>
      </c>
      <c r="U15" s="1">
        <v>1.99</v>
      </c>
      <c r="V15" s="1">
        <f t="shared" si="0"/>
        <v>6.2814070351758797</v>
      </c>
    </row>
    <row r="16" spans="2:22" x14ac:dyDescent="0.3">
      <c r="B16" s="1">
        <v>15</v>
      </c>
      <c r="C16" s="1" t="s">
        <v>3</v>
      </c>
      <c r="E16" s="1">
        <v>12.5</v>
      </c>
      <c r="G16" s="1" t="s">
        <v>16</v>
      </c>
      <c r="H16" s="1" t="s">
        <v>15</v>
      </c>
      <c r="I16" s="1">
        <v>0.8</v>
      </c>
      <c r="J16" s="1">
        <v>0.2</v>
      </c>
      <c r="K16" s="1" t="s">
        <v>26</v>
      </c>
      <c r="L16" s="1">
        <v>20</v>
      </c>
      <c r="M16" s="1" t="s">
        <v>35</v>
      </c>
      <c r="N16" s="1">
        <v>20</v>
      </c>
      <c r="O16" s="1">
        <v>35</v>
      </c>
      <c r="P16" s="1">
        <v>0</v>
      </c>
      <c r="Q16" s="1">
        <v>2.9</v>
      </c>
      <c r="S16" s="1" t="s">
        <v>60</v>
      </c>
      <c r="T16" s="1" t="s">
        <v>76</v>
      </c>
      <c r="U16" s="1">
        <v>2.54</v>
      </c>
      <c r="V16" s="1">
        <f t="shared" si="0"/>
        <v>4.9212598425196852</v>
      </c>
    </row>
    <row r="17" spans="2:22" x14ac:dyDescent="0.3">
      <c r="B17" s="1">
        <v>16</v>
      </c>
      <c r="C17" s="1" t="s">
        <v>3</v>
      </c>
      <c r="E17" s="1">
        <v>12.5</v>
      </c>
      <c r="G17" s="1" t="s">
        <v>16</v>
      </c>
      <c r="H17" s="1" t="s">
        <v>15</v>
      </c>
      <c r="I17" s="1">
        <v>0.7</v>
      </c>
      <c r="J17" s="1">
        <v>0.3</v>
      </c>
      <c r="K17" s="1" t="s">
        <v>26</v>
      </c>
      <c r="L17" s="1">
        <v>20</v>
      </c>
      <c r="M17" s="1" t="s">
        <v>35</v>
      </c>
      <c r="N17" s="1">
        <v>20</v>
      </c>
      <c r="O17" s="1">
        <v>35</v>
      </c>
      <c r="P17" s="1">
        <v>0</v>
      </c>
      <c r="Q17" s="1">
        <v>1.03</v>
      </c>
      <c r="S17" s="1" t="s">
        <v>60</v>
      </c>
      <c r="T17" s="1" t="s">
        <v>77</v>
      </c>
      <c r="U17" s="1">
        <v>3.36</v>
      </c>
      <c r="V17" s="1">
        <f t="shared" si="0"/>
        <v>3.7202380952380953</v>
      </c>
    </row>
    <row r="18" spans="2:22" x14ac:dyDescent="0.3">
      <c r="B18" s="1">
        <v>17</v>
      </c>
      <c r="C18" s="1" t="s">
        <v>3</v>
      </c>
      <c r="E18" s="1">
        <v>12.5</v>
      </c>
      <c r="G18" s="1" t="s">
        <v>16</v>
      </c>
      <c r="H18" s="1" t="s">
        <v>15</v>
      </c>
      <c r="I18" s="1">
        <v>0.6</v>
      </c>
      <c r="J18" s="1">
        <v>0.4</v>
      </c>
      <c r="K18" s="1" t="s">
        <v>26</v>
      </c>
      <c r="L18" s="1">
        <v>20</v>
      </c>
      <c r="M18" s="1" t="s">
        <v>35</v>
      </c>
      <c r="N18" s="1">
        <v>20</v>
      </c>
      <c r="O18" s="1">
        <v>35</v>
      </c>
      <c r="P18" s="1">
        <v>0</v>
      </c>
      <c r="Q18" s="1">
        <v>2.15</v>
      </c>
      <c r="S18" s="1" t="s">
        <v>60</v>
      </c>
      <c r="T18" s="1" t="s">
        <v>78</v>
      </c>
      <c r="U18" s="1">
        <v>4.3</v>
      </c>
      <c r="V18" s="1">
        <f t="shared" si="0"/>
        <v>2.9069767441860468</v>
      </c>
    </row>
    <row r="19" spans="2:22" x14ac:dyDescent="0.3">
      <c r="B19" s="1">
        <v>18</v>
      </c>
      <c r="C19" s="1" t="s">
        <v>3</v>
      </c>
      <c r="E19" s="1">
        <v>12.5</v>
      </c>
      <c r="G19" s="1" t="s">
        <v>16</v>
      </c>
      <c r="H19" s="1" t="s">
        <v>15</v>
      </c>
      <c r="I19" s="1">
        <v>0.5</v>
      </c>
      <c r="J19" s="1">
        <v>0.5</v>
      </c>
      <c r="K19" s="1" t="s">
        <v>26</v>
      </c>
      <c r="L19" s="1">
        <v>20</v>
      </c>
      <c r="M19" s="1" t="s">
        <v>35</v>
      </c>
      <c r="N19" s="1">
        <v>20</v>
      </c>
      <c r="O19" s="1">
        <v>35</v>
      </c>
      <c r="P19" s="1">
        <v>1</v>
      </c>
      <c r="Q19" s="1">
        <v>0.47</v>
      </c>
      <c r="S19" s="1" t="s">
        <v>60</v>
      </c>
      <c r="T19" s="1" t="s">
        <v>79</v>
      </c>
      <c r="U19" s="1">
        <v>5.3</v>
      </c>
      <c r="V19" s="1">
        <f t="shared" si="0"/>
        <v>2.358490566037736</v>
      </c>
    </row>
    <row r="20" spans="2:22" x14ac:dyDescent="0.3">
      <c r="B20" s="1">
        <v>19</v>
      </c>
      <c r="C20" s="1" t="s">
        <v>3</v>
      </c>
      <c r="E20" s="1">
        <v>12.5</v>
      </c>
      <c r="G20" s="1" t="s">
        <v>17</v>
      </c>
      <c r="H20" s="1" t="s">
        <v>15</v>
      </c>
      <c r="I20" s="1">
        <v>1</v>
      </c>
      <c r="K20" s="1" t="s">
        <v>26</v>
      </c>
      <c r="L20" s="1">
        <v>20</v>
      </c>
      <c r="M20" s="1" t="s">
        <v>35</v>
      </c>
      <c r="N20" s="1">
        <v>20</v>
      </c>
      <c r="O20" s="1">
        <v>35</v>
      </c>
      <c r="P20" s="1">
        <v>0</v>
      </c>
      <c r="Q20" s="1">
        <v>1.46</v>
      </c>
      <c r="S20" s="1" t="s">
        <v>60</v>
      </c>
      <c r="T20" s="1" t="s">
        <v>67</v>
      </c>
      <c r="U20" s="1">
        <v>1.88</v>
      </c>
      <c r="V20" s="1">
        <f t="shared" si="0"/>
        <v>6.6489361702127665</v>
      </c>
    </row>
    <row r="21" spans="2:22" x14ac:dyDescent="0.3">
      <c r="B21" s="1">
        <v>20</v>
      </c>
      <c r="C21" s="1" t="s">
        <v>3</v>
      </c>
      <c r="E21" s="1">
        <v>12.5</v>
      </c>
      <c r="G21" s="1" t="s">
        <v>17</v>
      </c>
      <c r="H21" s="1" t="s">
        <v>15</v>
      </c>
      <c r="I21" s="1">
        <v>0.9</v>
      </c>
      <c r="J21" s="1">
        <v>0.1</v>
      </c>
      <c r="K21" s="1" t="s">
        <v>26</v>
      </c>
      <c r="L21" s="1">
        <v>20</v>
      </c>
      <c r="M21" s="1" t="s">
        <v>35</v>
      </c>
      <c r="N21" s="1">
        <v>20</v>
      </c>
      <c r="O21" s="1">
        <v>35</v>
      </c>
      <c r="P21" s="1">
        <v>1</v>
      </c>
      <c r="Q21" s="1">
        <v>0.9</v>
      </c>
      <c r="S21" s="1" t="s">
        <v>60</v>
      </c>
      <c r="T21" s="1" t="s">
        <v>80</v>
      </c>
      <c r="U21" s="1">
        <v>1.64</v>
      </c>
      <c r="V21" s="1">
        <f t="shared" si="0"/>
        <v>7.6219512195121952</v>
      </c>
    </row>
    <row r="22" spans="2:22" x14ac:dyDescent="0.3">
      <c r="B22" s="1">
        <v>21</v>
      </c>
      <c r="C22" s="1" t="s">
        <v>3</v>
      </c>
      <c r="E22" s="1">
        <v>12.5</v>
      </c>
      <c r="G22" s="1" t="s">
        <v>17</v>
      </c>
      <c r="H22" s="1" t="s">
        <v>15</v>
      </c>
      <c r="I22" s="1">
        <v>0.8</v>
      </c>
      <c r="J22" s="1">
        <v>0.2</v>
      </c>
      <c r="K22" s="1" t="s">
        <v>26</v>
      </c>
      <c r="L22" s="1">
        <v>20</v>
      </c>
      <c r="M22" s="1" t="s">
        <v>35</v>
      </c>
      <c r="N22" s="1">
        <v>20</v>
      </c>
      <c r="O22" s="1">
        <v>35</v>
      </c>
      <c r="P22" s="1">
        <v>1</v>
      </c>
      <c r="Q22" s="1">
        <v>0.28000000000000003</v>
      </c>
      <c r="S22" s="1" t="s">
        <v>60</v>
      </c>
      <c r="T22" s="1" t="s">
        <v>81</v>
      </c>
      <c r="U22" s="1">
        <v>2.11</v>
      </c>
      <c r="V22" s="1">
        <f t="shared" si="0"/>
        <v>5.9241706161137442</v>
      </c>
    </row>
    <row r="23" spans="2:22" x14ac:dyDescent="0.3">
      <c r="B23" s="1">
        <v>22</v>
      </c>
      <c r="C23" s="1" t="s">
        <v>3</v>
      </c>
      <c r="E23" s="1">
        <v>12.5</v>
      </c>
      <c r="G23" s="1" t="s">
        <v>17</v>
      </c>
      <c r="H23" s="1" t="s">
        <v>15</v>
      </c>
      <c r="I23" s="1">
        <v>0.7</v>
      </c>
      <c r="J23" s="1">
        <v>0.3</v>
      </c>
      <c r="K23" s="1" t="s">
        <v>26</v>
      </c>
      <c r="L23" s="1">
        <v>20</v>
      </c>
      <c r="M23" s="1" t="s">
        <v>35</v>
      </c>
      <c r="N23" s="1">
        <v>20</v>
      </c>
      <c r="O23" s="1">
        <v>35</v>
      </c>
      <c r="P23" s="1">
        <v>0</v>
      </c>
      <c r="Q23" s="1">
        <v>1.18</v>
      </c>
      <c r="S23" s="1" t="s">
        <v>60</v>
      </c>
      <c r="T23" s="1" t="s">
        <v>82</v>
      </c>
      <c r="U23" s="1">
        <v>2.96</v>
      </c>
      <c r="V23" s="1">
        <f t="shared" si="0"/>
        <v>4.2229729729729728</v>
      </c>
    </row>
    <row r="24" spans="2:22" x14ac:dyDescent="0.3">
      <c r="B24" s="1">
        <v>23</v>
      </c>
      <c r="C24" s="1" t="s">
        <v>3</v>
      </c>
      <c r="E24" s="1">
        <v>12.5</v>
      </c>
      <c r="G24" s="1" t="s">
        <v>17</v>
      </c>
      <c r="H24" s="1" t="s">
        <v>15</v>
      </c>
      <c r="I24" s="1">
        <v>0.6</v>
      </c>
      <c r="J24" s="1">
        <v>0.4</v>
      </c>
      <c r="K24" s="1" t="s">
        <v>26</v>
      </c>
      <c r="L24" s="1">
        <v>20</v>
      </c>
      <c r="M24" s="1" t="s">
        <v>35</v>
      </c>
      <c r="N24" s="1">
        <v>20</v>
      </c>
      <c r="O24" s="1">
        <v>35</v>
      </c>
      <c r="P24" s="1">
        <v>0</v>
      </c>
      <c r="Q24" s="1">
        <v>1.39</v>
      </c>
      <c r="S24" s="1" t="s">
        <v>60</v>
      </c>
      <c r="T24" s="1" t="s">
        <v>83</v>
      </c>
      <c r="U24" s="1">
        <v>3.97</v>
      </c>
      <c r="V24" s="1">
        <f t="shared" si="0"/>
        <v>3.1486146095717884</v>
      </c>
    </row>
    <row r="25" spans="2:22" x14ac:dyDescent="0.3">
      <c r="B25" s="1">
        <v>24</v>
      </c>
      <c r="C25" s="1" t="s">
        <v>3</v>
      </c>
      <c r="E25" s="1">
        <v>12.5</v>
      </c>
      <c r="G25" s="1" t="s">
        <v>17</v>
      </c>
      <c r="H25" s="1" t="s">
        <v>15</v>
      </c>
      <c r="I25" s="1">
        <v>0.5</v>
      </c>
      <c r="J25" s="1">
        <v>0.5</v>
      </c>
      <c r="K25" s="1" t="s">
        <v>26</v>
      </c>
      <c r="L25" s="1">
        <v>20</v>
      </c>
      <c r="M25" s="1" t="s">
        <v>35</v>
      </c>
      <c r="N25" s="1">
        <v>20</v>
      </c>
      <c r="O25" s="1">
        <v>35</v>
      </c>
      <c r="P25" s="1">
        <v>0</v>
      </c>
      <c r="Q25" s="1">
        <v>2.4119999999999999</v>
      </c>
      <c r="S25" s="1" t="s">
        <v>60</v>
      </c>
      <c r="T25" s="1" t="s">
        <v>84</v>
      </c>
      <c r="U25" s="1">
        <v>5.03</v>
      </c>
      <c r="V25" s="1">
        <f t="shared" si="0"/>
        <v>2.4850894632206759</v>
      </c>
    </row>
    <row r="26" spans="2:22" x14ac:dyDescent="0.3">
      <c r="B26" s="1">
        <v>25</v>
      </c>
      <c r="C26" s="1" t="s">
        <v>3</v>
      </c>
      <c r="D26" s="1" t="s">
        <v>4</v>
      </c>
      <c r="E26" s="1">
        <v>16</v>
      </c>
      <c r="F26" s="1">
        <v>4</v>
      </c>
      <c r="G26" s="1" t="s">
        <v>22</v>
      </c>
      <c r="I26" s="1">
        <v>1</v>
      </c>
      <c r="J26" s="1">
        <v>0</v>
      </c>
      <c r="K26" s="1" t="s">
        <v>27</v>
      </c>
      <c r="L26" s="1">
        <v>14</v>
      </c>
      <c r="M26" s="1" t="s">
        <v>36</v>
      </c>
      <c r="N26" s="1">
        <v>25</v>
      </c>
      <c r="O26" s="1">
        <v>40</v>
      </c>
      <c r="P26" s="1">
        <v>0</v>
      </c>
      <c r="Q26" s="1">
        <v>0.27</v>
      </c>
      <c r="S26" s="1" t="s">
        <v>85</v>
      </c>
      <c r="T26" s="1" t="s">
        <v>64</v>
      </c>
      <c r="U26" s="1">
        <v>5.2</v>
      </c>
      <c r="V26" s="1">
        <f t="shared" si="0"/>
        <v>3.8461538461538458</v>
      </c>
    </row>
    <row r="27" spans="2:22" x14ac:dyDescent="0.3">
      <c r="B27" s="1">
        <v>26</v>
      </c>
      <c r="C27" s="1" t="s">
        <v>3</v>
      </c>
      <c r="E27" s="1">
        <v>12</v>
      </c>
      <c r="G27" s="1" t="s">
        <v>11</v>
      </c>
      <c r="I27" s="1">
        <v>1</v>
      </c>
      <c r="J27" s="1">
        <v>0</v>
      </c>
      <c r="K27" s="1" t="s">
        <v>27</v>
      </c>
      <c r="L27" s="1">
        <v>29</v>
      </c>
      <c r="M27" s="1" t="s">
        <v>37</v>
      </c>
      <c r="N27" s="1">
        <v>25</v>
      </c>
      <c r="O27" s="1">
        <v>50</v>
      </c>
      <c r="P27" s="1">
        <v>0</v>
      </c>
      <c r="Q27" s="1">
        <v>4</v>
      </c>
      <c r="S27" s="1" t="s">
        <v>60</v>
      </c>
      <c r="T27" s="1" t="s">
        <v>63</v>
      </c>
      <c r="U27" s="1">
        <v>3.75</v>
      </c>
      <c r="V27" s="1">
        <f t="shared" si="0"/>
        <v>3.2</v>
      </c>
    </row>
    <row r="28" spans="2:22" x14ac:dyDescent="0.3">
      <c r="B28" s="1">
        <v>27</v>
      </c>
      <c r="C28" s="1" t="s">
        <v>3</v>
      </c>
      <c r="E28" s="1">
        <v>18</v>
      </c>
      <c r="G28" s="1" t="s">
        <v>13</v>
      </c>
      <c r="H28" s="1" t="s">
        <v>14</v>
      </c>
      <c r="I28" s="1">
        <v>0.8</v>
      </c>
      <c r="J28" s="1">
        <v>0.2</v>
      </c>
      <c r="K28" s="1" t="s">
        <v>26</v>
      </c>
      <c r="L28" s="1">
        <v>18</v>
      </c>
      <c r="M28" s="1" t="s">
        <v>35</v>
      </c>
      <c r="P28" s="1">
        <v>0</v>
      </c>
      <c r="Q28" s="1">
        <v>0.874</v>
      </c>
      <c r="S28" s="1" t="s">
        <v>60</v>
      </c>
      <c r="T28" s="1" t="s">
        <v>86</v>
      </c>
      <c r="U28" s="1">
        <v>7.78</v>
      </c>
      <c r="V28" s="1">
        <f t="shared" si="0"/>
        <v>2.3136246786632388</v>
      </c>
    </row>
    <row r="29" spans="2:22" x14ac:dyDescent="0.3">
      <c r="B29" s="1">
        <v>28</v>
      </c>
      <c r="C29" s="1" t="s">
        <v>3</v>
      </c>
      <c r="E29" s="1">
        <v>8</v>
      </c>
      <c r="G29" s="1" t="s">
        <v>11</v>
      </c>
      <c r="H29" s="1" t="s">
        <v>18</v>
      </c>
      <c r="I29" s="1">
        <v>0.75</v>
      </c>
      <c r="J29" s="1">
        <v>0.25</v>
      </c>
      <c r="K29" s="1" t="s">
        <v>26</v>
      </c>
      <c r="L29" s="1">
        <v>13</v>
      </c>
      <c r="M29" s="1" t="s">
        <v>38</v>
      </c>
      <c r="N29" s="1">
        <v>30</v>
      </c>
      <c r="O29" s="1">
        <v>40</v>
      </c>
      <c r="P29" s="1">
        <v>0</v>
      </c>
      <c r="Q29" s="1">
        <v>1.55</v>
      </c>
      <c r="S29" s="1" t="s">
        <v>60</v>
      </c>
      <c r="T29" s="1" t="s">
        <v>87</v>
      </c>
      <c r="U29" s="1">
        <v>2.4900000000000002</v>
      </c>
      <c r="V29" s="1">
        <f t="shared" si="0"/>
        <v>3.2128514056224895</v>
      </c>
    </row>
    <row r="30" spans="2:22" x14ac:dyDescent="0.3">
      <c r="B30" s="1">
        <v>29</v>
      </c>
      <c r="C30" s="1" t="s">
        <v>3</v>
      </c>
      <c r="E30" s="1">
        <v>12</v>
      </c>
      <c r="G30" s="1" t="s">
        <v>21</v>
      </c>
      <c r="H30" s="1" t="s">
        <v>11</v>
      </c>
      <c r="I30" s="1">
        <v>0.2</v>
      </c>
      <c r="J30" s="1">
        <v>0.8</v>
      </c>
      <c r="K30" s="1" t="s">
        <v>28</v>
      </c>
      <c r="L30" s="1">
        <v>17</v>
      </c>
      <c r="M30" s="1" t="s">
        <v>39</v>
      </c>
      <c r="P30" s="1">
        <v>0</v>
      </c>
      <c r="Q30" s="1">
        <v>1.83</v>
      </c>
      <c r="S30" s="1" t="s">
        <v>60</v>
      </c>
      <c r="T30" s="1" t="s">
        <v>69</v>
      </c>
      <c r="U30" s="1">
        <v>1.39</v>
      </c>
      <c r="V30" s="1">
        <f t="shared" si="0"/>
        <v>8.6330935251798575</v>
      </c>
    </row>
    <row r="31" spans="2:22" x14ac:dyDescent="0.3">
      <c r="B31" s="1">
        <v>30</v>
      </c>
      <c r="C31" s="1" t="s">
        <v>3</v>
      </c>
      <c r="E31" s="1">
        <v>14</v>
      </c>
      <c r="G31" s="1" t="s">
        <v>21</v>
      </c>
      <c r="H31" s="1" t="s">
        <v>23</v>
      </c>
      <c r="I31" s="1">
        <v>0.5</v>
      </c>
      <c r="J31" s="1">
        <v>0.5</v>
      </c>
      <c r="K31" s="1" t="s">
        <v>29</v>
      </c>
      <c r="L31" s="1">
        <v>20</v>
      </c>
      <c r="M31" s="1" t="s">
        <v>40</v>
      </c>
      <c r="P31" s="1">
        <v>0</v>
      </c>
      <c r="Q31" s="1">
        <v>0.87</v>
      </c>
      <c r="S31" s="1" t="s">
        <v>60</v>
      </c>
      <c r="T31" s="1" t="s">
        <v>88</v>
      </c>
      <c r="U31" s="1">
        <v>4.1399999999999997</v>
      </c>
      <c r="V31" s="1">
        <f t="shared" si="0"/>
        <v>3.381642512077295</v>
      </c>
    </row>
    <row r="32" spans="2:22" x14ac:dyDescent="0.3">
      <c r="B32" s="1">
        <v>31</v>
      </c>
      <c r="C32" s="1" t="s">
        <v>3</v>
      </c>
      <c r="E32" s="1">
        <v>20</v>
      </c>
      <c r="G32" s="1" t="s">
        <v>13</v>
      </c>
      <c r="I32" s="1">
        <v>1</v>
      </c>
      <c r="J32" s="1">
        <v>0</v>
      </c>
      <c r="K32" s="1" t="s">
        <v>26</v>
      </c>
      <c r="L32" s="1">
        <v>11</v>
      </c>
      <c r="M32" s="1" t="s">
        <v>36</v>
      </c>
      <c r="N32" s="1">
        <v>23</v>
      </c>
      <c r="O32" s="1">
        <v>40</v>
      </c>
      <c r="P32" s="1">
        <v>0</v>
      </c>
      <c r="Q32" s="1">
        <v>1.331</v>
      </c>
      <c r="S32" s="1" t="s">
        <v>60</v>
      </c>
      <c r="T32" s="1" t="s">
        <v>61</v>
      </c>
      <c r="U32" s="1">
        <v>8.76</v>
      </c>
      <c r="V32" s="1">
        <f t="shared" si="0"/>
        <v>2.2831050228310503</v>
      </c>
    </row>
    <row r="33" spans="2:22" x14ac:dyDescent="0.3">
      <c r="B33" s="1">
        <v>32</v>
      </c>
      <c r="C33" s="1" t="s">
        <v>3</v>
      </c>
      <c r="E33" s="1">
        <v>15</v>
      </c>
      <c r="G33" s="1" t="s">
        <v>13</v>
      </c>
      <c r="H33" s="1" t="s">
        <v>19</v>
      </c>
      <c r="I33" s="1">
        <v>0.5</v>
      </c>
      <c r="J33" s="1">
        <v>0.5</v>
      </c>
      <c r="K33" s="1" t="s">
        <v>30</v>
      </c>
      <c r="L33" s="1">
        <v>11</v>
      </c>
      <c r="M33" s="1" t="s">
        <v>41</v>
      </c>
      <c r="N33" s="1">
        <v>23</v>
      </c>
      <c r="O33" s="1">
        <v>40</v>
      </c>
      <c r="P33" s="1">
        <v>0</v>
      </c>
      <c r="Q33" s="1">
        <v>0.122</v>
      </c>
      <c r="S33" s="1" t="s">
        <v>60</v>
      </c>
      <c r="T33" s="1" t="s">
        <v>89</v>
      </c>
      <c r="U33" s="1">
        <v>10.5</v>
      </c>
      <c r="V33" s="1">
        <f t="shared" si="0"/>
        <v>1.4285714285714286</v>
      </c>
    </row>
    <row r="34" spans="2:22" x14ac:dyDescent="0.3">
      <c r="B34" s="1">
        <v>33</v>
      </c>
      <c r="C34" s="1" t="s">
        <v>3</v>
      </c>
      <c r="E34" s="1">
        <v>20</v>
      </c>
      <c r="G34" s="1" t="s">
        <v>20</v>
      </c>
      <c r="I34" s="1">
        <v>1</v>
      </c>
      <c r="J34" s="1">
        <v>0</v>
      </c>
      <c r="K34" s="1" t="s">
        <v>30</v>
      </c>
      <c r="L34" s="1">
        <v>20</v>
      </c>
      <c r="M34" s="1" t="s">
        <v>40</v>
      </c>
      <c r="N34" s="1">
        <v>25</v>
      </c>
      <c r="O34" s="1">
        <v>50</v>
      </c>
      <c r="P34" s="1">
        <v>0</v>
      </c>
      <c r="Q34" s="1">
        <v>1.4</v>
      </c>
      <c r="S34" s="1" t="s">
        <v>60</v>
      </c>
      <c r="T34" s="1" t="s">
        <v>62</v>
      </c>
      <c r="U34" s="1">
        <v>10.52</v>
      </c>
      <c r="V34" s="1">
        <f t="shared" si="0"/>
        <v>1.9011406844106464</v>
      </c>
    </row>
    <row r="35" spans="2:22" x14ac:dyDescent="0.3">
      <c r="B35" s="1">
        <v>34</v>
      </c>
      <c r="C35" s="1" t="s">
        <v>3</v>
      </c>
      <c r="D35" s="1" t="s">
        <v>4</v>
      </c>
      <c r="E35" s="1">
        <v>16</v>
      </c>
      <c r="G35" s="1" t="s">
        <v>11</v>
      </c>
      <c r="H35" s="1" t="s">
        <v>18</v>
      </c>
      <c r="I35" s="1">
        <v>0.75</v>
      </c>
      <c r="J35" s="1">
        <v>0.25</v>
      </c>
      <c r="K35" s="1" t="s">
        <v>31</v>
      </c>
      <c r="L35" s="1">
        <v>10</v>
      </c>
      <c r="M35" s="1" t="s">
        <v>35</v>
      </c>
      <c r="P35" s="1">
        <v>1</v>
      </c>
      <c r="Q35" s="1">
        <v>0.25</v>
      </c>
      <c r="S35" s="1" t="s">
        <v>60</v>
      </c>
      <c r="T35" s="1" t="s">
        <v>87</v>
      </c>
      <c r="U35" s="1">
        <v>2.4900000000000002</v>
      </c>
      <c r="V35" s="1">
        <f t="shared" si="0"/>
        <v>6.425702811244979</v>
      </c>
    </row>
    <row r="36" spans="2:22" x14ac:dyDescent="0.3">
      <c r="B36" s="1">
        <v>35</v>
      </c>
      <c r="C36" s="1" t="s">
        <v>3</v>
      </c>
      <c r="D36" s="1" t="s">
        <v>4</v>
      </c>
      <c r="E36" s="1">
        <v>11.2</v>
      </c>
      <c r="F36" s="1">
        <v>4.8</v>
      </c>
      <c r="G36" s="1" t="s">
        <v>11</v>
      </c>
      <c r="H36" s="1" t="s">
        <v>18</v>
      </c>
      <c r="I36" s="1">
        <v>0.75</v>
      </c>
      <c r="J36" s="1">
        <v>0.25</v>
      </c>
      <c r="K36" s="1" t="s">
        <v>31</v>
      </c>
      <c r="L36" s="1">
        <v>10</v>
      </c>
      <c r="M36" s="1" t="s">
        <v>35</v>
      </c>
      <c r="P36" s="1">
        <v>0</v>
      </c>
      <c r="Q36" s="1">
        <v>0.19</v>
      </c>
      <c r="S36" s="1" t="s">
        <v>90</v>
      </c>
      <c r="T36" s="1" t="s">
        <v>87</v>
      </c>
      <c r="U36" s="1">
        <v>4.0599999999999996</v>
      </c>
      <c r="V36" s="1">
        <f t="shared" si="0"/>
        <v>3.9408866995073897</v>
      </c>
    </row>
    <row r="37" spans="2:22" x14ac:dyDescent="0.3">
      <c r="B37" s="1">
        <v>36</v>
      </c>
      <c r="C37" s="1" t="s">
        <v>3</v>
      </c>
      <c r="D37" s="1" t="s">
        <v>4</v>
      </c>
      <c r="E37" s="1">
        <v>9.6</v>
      </c>
      <c r="F37" s="1">
        <v>6.4</v>
      </c>
      <c r="G37" s="1" t="s">
        <v>11</v>
      </c>
      <c r="H37" s="1" t="s">
        <v>18</v>
      </c>
      <c r="I37" s="1">
        <v>0.75</v>
      </c>
      <c r="J37" s="1">
        <v>0.25</v>
      </c>
      <c r="K37" s="1" t="s">
        <v>31</v>
      </c>
      <c r="L37" s="1">
        <v>10</v>
      </c>
      <c r="M37" s="1" t="s">
        <v>35</v>
      </c>
      <c r="P37" s="1">
        <v>0</v>
      </c>
      <c r="Q37" s="1">
        <v>0.21</v>
      </c>
      <c r="S37" s="1" t="s">
        <v>91</v>
      </c>
      <c r="T37" s="1" t="s">
        <v>87</v>
      </c>
      <c r="U37" s="1">
        <v>5.41</v>
      </c>
      <c r="V37" s="1">
        <f t="shared" si="0"/>
        <v>2.957486136783734</v>
      </c>
    </row>
    <row r="38" spans="2:22" x14ac:dyDescent="0.3">
      <c r="B38" s="1">
        <v>37</v>
      </c>
      <c r="C38" s="1" t="s">
        <v>3</v>
      </c>
      <c r="D38" s="1" t="s">
        <v>4</v>
      </c>
      <c r="E38" s="1">
        <v>8</v>
      </c>
      <c r="F38" s="1">
        <v>8</v>
      </c>
      <c r="G38" s="1" t="s">
        <v>11</v>
      </c>
      <c r="H38" s="1" t="s">
        <v>18</v>
      </c>
      <c r="I38" s="1">
        <v>0.75</v>
      </c>
      <c r="J38" s="1">
        <v>0.25</v>
      </c>
      <c r="K38" s="1" t="s">
        <v>31</v>
      </c>
      <c r="L38" s="1">
        <v>10</v>
      </c>
      <c r="M38" s="1" t="s">
        <v>35</v>
      </c>
      <c r="P38" s="1">
        <v>0</v>
      </c>
      <c r="Q38" s="1">
        <v>0.26</v>
      </c>
      <c r="S38" s="1" t="s">
        <v>65</v>
      </c>
      <c r="T38" s="1" t="s">
        <v>87</v>
      </c>
      <c r="U38" s="1">
        <v>6.84</v>
      </c>
      <c r="V38" s="1">
        <f t="shared" si="0"/>
        <v>2.3391812865497075</v>
      </c>
    </row>
    <row r="39" spans="2:22" x14ac:dyDescent="0.3">
      <c r="B39" s="1">
        <v>38</v>
      </c>
      <c r="C39" s="1" t="s">
        <v>3</v>
      </c>
      <c r="E39" s="1">
        <v>15</v>
      </c>
      <c r="G39" s="1" t="s">
        <v>13</v>
      </c>
      <c r="I39" s="1">
        <v>1</v>
      </c>
      <c r="J39" s="1">
        <v>0</v>
      </c>
      <c r="K39" s="1" t="s">
        <v>32</v>
      </c>
      <c r="L39" s="1">
        <v>15</v>
      </c>
      <c r="M39" s="1" t="s">
        <v>42</v>
      </c>
      <c r="P39" s="1">
        <v>0</v>
      </c>
      <c r="Q39" s="1">
        <v>1.4</v>
      </c>
      <c r="S39" s="1" t="s">
        <v>60</v>
      </c>
      <c r="T39" s="1" t="s">
        <v>61</v>
      </c>
      <c r="U39" s="1">
        <v>8.76</v>
      </c>
      <c r="V39" s="1">
        <f t="shared" si="0"/>
        <v>1.7123287671232876</v>
      </c>
    </row>
    <row r="40" spans="2:22" x14ac:dyDescent="0.3">
      <c r="B40" s="1">
        <v>39</v>
      </c>
      <c r="C40" s="1" t="s">
        <v>3</v>
      </c>
      <c r="E40" s="1">
        <v>5</v>
      </c>
      <c r="G40" s="1" t="s">
        <v>13</v>
      </c>
      <c r="I40" s="1">
        <v>1</v>
      </c>
      <c r="J40" s="1">
        <v>0</v>
      </c>
      <c r="K40" s="1" t="s">
        <v>32</v>
      </c>
      <c r="L40" s="1">
        <v>15</v>
      </c>
      <c r="M40" s="1" t="s">
        <v>42</v>
      </c>
      <c r="P40" s="1">
        <v>1</v>
      </c>
      <c r="Q40" s="1">
        <v>0.499</v>
      </c>
      <c r="S40" s="1" t="s">
        <v>60</v>
      </c>
      <c r="T40" s="1" t="s">
        <v>61</v>
      </c>
      <c r="U40" s="1">
        <v>8.76</v>
      </c>
      <c r="V40" s="1">
        <f t="shared" si="0"/>
        <v>0.57077625570776258</v>
      </c>
    </row>
    <row r="41" spans="2:22" x14ac:dyDescent="0.3">
      <c r="B41" s="1">
        <v>40</v>
      </c>
      <c r="C41" s="1" t="s">
        <v>3</v>
      </c>
      <c r="E41" s="1">
        <v>10</v>
      </c>
      <c r="G41" s="1" t="s">
        <v>13</v>
      </c>
      <c r="I41" s="1">
        <v>1</v>
      </c>
      <c r="J41" s="1">
        <v>0</v>
      </c>
      <c r="K41" s="1" t="s">
        <v>32</v>
      </c>
      <c r="L41" s="1">
        <v>15</v>
      </c>
      <c r="M41" s="1" t="s">
        <v>42</v>
      </c>
      <c r="P41" s="1">
        <v>1</v>
      </c>
      <c r="Q41" s="1">
        <v>3.7999999999999999E-2</v>
      </c>
      <c r="S41" s="1" t="s">
        <v>60</v>
      </c>
      <c r="T41" s="1" t="s">
        <v>61</v>
      </c>
      <c r="U41" s="1">
        <v>8.76</v>
      </c>
      <c r="V41" s="1">
        <f t="shared" si="0"/>
        <v>1.1415525114155252</v>
      </c>
    </row>
    <row r="43" spans="2:22" x14ac:dyDescent="0.3">
      <c r="B43" s="1">
        <v>41</v>
      </c>
      <c r="C43" s="1" t="s">
        <v>3</v>
      </c>
      <c r="E43" s="1">
        <v>10</v>
      </c>
      <c r="G43" s="1" t="s">
        <v>49</v>
      </c>
      <c r="H43" s="1" t="s">
        <v>12</v>
      </c>
      <c r="I43" s="1">
        <v>0.75</v>
      </c>
      <c r="J43" s="1">
        <v>0.25</v>
      </c>
      <c r="K43" s="1">
        <v>15</v>
      </c>
      <c r="L43" s="1">
        <v>15</v>
      </c>
      <c r="M43" s="1">
        <v>1</v>
      </c>
      <c r="P43" s="1">
        <v>1</v>
      </c>
      <c r="Q43" s="1">
        <v>0.17299999999999999</v>
      </c>
      <c r="S43" s="1" t="s">
        <v>60</v>
      </c>
      <c r="T43" s="1" t="s">
        <v>92</v>
      </c>
      <c r="U43" s="1">
        <v>6.07</v>
      </c>
      <c r="V43" s="1">
        <f t="shared" si="0"/>
        <v>1.6474464579901154</v>
      </c>
    </row>
    <row r="44" spans="2:22" x14ac:dyDescent="0.3">
      <c r="B44" s="1">
        <v>42</v>
      </c>
      <c r="C44" s="1" t="s">
        <v>3</v>
      </c>
      <c r="E44" s="1">
        <v>10</v>
      </c>
      <c r="G44" s="1" t="s">
        <v>49</v>
      </c>
      <c r="H44" s="1" t="s">
        <v>12</v>
      </c>
      <c r="I44" s="1">
        <v>0.75</v>
      </c>
      <c r="J44" s="1">
        <v>0.25</v>
      </c>
      <c r="K44" s="1">
        <v>20</v>
      </c>
      <c r="L44" s="1">
        <v>15</v>
      </c>
      <c r="M44" s="1">
        <v>1</v>
      </c>
      <c r="P44" s="1">
        <v>1</v>
      </c>
      <c r="Q44" s="1">
        <v>0.161</v>
      </c>
      <c r="S44" s="1" t="s">
        <v>60</v>
      </c>
      <c r="T44" s="1" t="s">
        <v>92</v>
      </c>
      <c r="U44" s="1">
        <v>6.07</v>
      </c>
      <c r="V44" s="1">
        <f t="shared" si="0"/>
        <v>1.6474464579901154</v>
      </c>
    </row>
    <row r="45" spans="2:22" x14ac:dyDescent="0.3">
      <c r="B45" s="1">
        <v>43</v>
      </c>
      <c r="C45" s="1" t="s">
        <v>3</v>
      </c>
      <c r="E45" s="1">
        <v>10</v>
      </c>
      <c r="G45" s="1" t="s">
        <v>49</v>
      </c>
      <c r="H45" s="1" t="s">
        <v>12</v>
      </c>
      <c r="I45" s="1">
        <v>0.75</v>
      </c>
      <c r="J45" s="1">
        <v>0.25</v>
      </c>
      <c r="K45" s="1">
        <v>10</v>
      </c>
      <c r="L45" s="1">
        <v>15</v>
      </c>
      <c r="M45" s="1">
        <v>1</v>
      </c>
      <c r="P45" s="1">
        <v>1</v>
      </c>
      <c r="Q45" s="1">
        <v>0.13700000000000001</v>
      </c>
      <c r="S45" s="1" t="s">
        <v>60</v>
      </c>
      <c r="T45" s="1" t="s">
        <v>92</v>
      </c>
      <c r="U45" s="1">
        <v>6.07</v>
      </c>
      <c r="V45" s="1">
        <f t="shared" si="0"/>
        <v>1.6474464579901154</v>
      </c>
    </row>
    <row r="46" spans="2:22" x14ac:dyDescent="0.3">
      <c r="B46" s="1">
        <v>44</v>
      </c>
      <c r="C46" s="1" t="s">
        <v>3</v>
      </c>
      <c r="E46" s="1">
        <v>10</v>
      </c>
      <c r="G46" s="1" t="s">
        <v>49</v>
      </c>
      <c r="H46" s="1" t="s">
        <v>12</v>
      </c>
      <c r="I46" s="1">
        <v>0.75</v>
      </c>
      <c r="J46" s="1">
        <v>0.25</v>
      </c>
      <c r="K46" s="1">
        <v>15</v>
      </c>
      <c r="L46" s="1">
        <v>15</v>
      </c>
      <c r="M46" s="1">
        <v>2</v>
      </c>
      <c r="P46" s="1">
        <v>1</v>
      </c>
      <c r="Q46" s="1">
        <v>0.16300000000000001</v>
      </c>
      <c r="S46" s="1" t="s">
        <v>60</v>
      </c>
      <c r="T46" s="1" t="s">
        <v>92</v>
      </c>
      <c r="U46" s="1">
        <v>6.07</v>
      </c>
      <c r="V46" s="1">
        <f t="shared" si="0"/>
        <v>1.6474464579901154</v>
      </c>
    </row>
    <row r="47" spans="2:22" x14ac:dyDescent="0.3">
      <c r="B47" s="1">
        <v>45</v>
      </c>
      <c r="C47" s="1" t="s">
        <v>3</v>
      </c>
      <c r="E47" s="1">
        <v>10</v>
      </c>
      <c r="G47" s="1" t="s">
        <v>49</v>
      </c>
      <c r="H47" s="1" t="s">
        <v>12</v>
      </c>
      <c r="I47" s="1">
        <v>0.75</v>
      </c>
      <c r="J47" s="1">
        <v>0.25</v>
      </c>
      <c r="K47" s="1">
        <v>20</v>
      </c>
      <c r="L47" s="1">
        <v>15</v>
      </c>
      <c r="M47" s="1">
        <v>2</v>
      </c>
      <c r="P47" s="1">
        <v>1</v>
      </c>
      <c r="Q47" s="1">
        <v>0.161</v>
      </c>
      <c r="S47" s="1" t="s">
        <v>60</v>
      </c>
      <c r="T47" s="1" t="s">
        <v>92</v>
      </c>
      <c r="U47" s="1">
        <v>6.07</v>
      </c>
      <c r="V47" s="1">
        <f t="shared" si="0"/>
        <v>1.6474464579901154</v>
      </c>
    </row>
    <row r="48" spans="2:22" x14ac:dyDescent="0.3">
      <c r="B48" s="1">
        <v>46</v>
      </c>
      <c r="C48" s="1" t="s">
        <v>3</v>
      </c>
      <c r="E48" s="1">
        <v>10</v>
      </c>
      <c r="G48" s="1" t="s">
        <v>49</v>
      </c>
      <c r="H48" s="1" t="s">
        <v>12</v>
      </c>
      <c r="I48" s="1">
        <v>0.75</v>
      </c>
      <c r="J48" s="1">
        <v>0.25</v>
      </c>
      <c r="K48" s="1">
        <v>10</v>
      </c>
      <c r="L48" s="1">
        <v>15</v>
      </c>
      <c r="M48" s="1">
        <v>2</v>
      </c>
      <c r="P48" s="1">
        <v>1</v>
      </c>
      <c r="Q48" s="1">
        <v>0.158</v>
      </c>
      <c r="S48" s="1" t="s">
        <v>60</v>
      </c>
      <c r="T48" s="1" t="s">
        <v>92</v>
      </c>
      <c r="U48" s="1">
        <v>6.07</v>
      </c>
      <c r="V48" s="1">
        <f t="shared" si="0"/>
        <v>1.6474464579901154</v>
      </c>
    </row>
    <row r="49" spans="2:22" x14ac:dyDescent="0.3">
      <c r="B49" s="1">
        <v>47</v>
      </c>
      <c r="C49" s="1" t="s">
        <v>3</v>
      </c>
      <c r="E49" s="1">
        <v>10</v>
      </c>
      <c r="G49" s="1" t="s">
        <v>49</v>
      </c>
      <c r="H49" s="1" t="s">
        <v>12</v>
      </c>
      <c r="I49" s="1">
        <v>0.75</v>
      </c>
      <c r="J49" s="1">
        <v>0.25</v>
      </c>
      <c r="K49" s="1">
        <v>15</v>
      </c>
      <c r="L49" s="1">
        <v>10</v>
      </c>
      <c r="M49" s="1">
        <v>2</v>
      </c>
      <c r="P49" s="1">
        <v>1</v>
      </c>
      <c r="Q49" s="1">
        <v>0.16600000000000001</v>
      </c>
      <c r="S49" s="1" t="s">
        <v>60</v>
      </c>
      <c r="T49" s="1" t="s">
        <v>92</v>
      </c>
      <c r="U49" s="1">
        <v>6.07</v>
      </c>
      <c r="V49" s="1">
        <f t="shared" si="0"/>
        <v>1.6474464579901154</v>
      </c>
    </row>
    <row r="50" spans="2:22" x14ac:dyDescent="0.3">
      <c r="B50" s="1">
        <v>48</v>
      </c>
      <c r="C50" s="1" t="s">
        <v>3</v>
      </c>
      <c r="E50" s="1">
        <v>10</v>
      </c>
      <c r="G50" s="1" t="s">
        <v>49</v>
      </c>
      <c r="H50" s="1" t="s">
        <v>12</v>
      </c>
      <c r="I50" s="1">
        <v>0.75</v>
      </c>
      <c r="J50" s="1">
        <v>0.25</v>
      </c>
      <c r="K50" s="1">
        <v>15</v>
      </c>
      <c r="L50" s="1">
        <v>20</v>
      </c>
      <c r="M50" s="1">
        <v>2</v>
      </c>
      <c r="P50" s="1">
        <v>1</v>
      </c>
      <c r="Q50" s="1">
        <v>0.155</v>
      </c>
      <c r="S50" s="1" t="s">
        <v>60</v>
      </c>
      <c r="T50" s="1" t="s">
        <v>92</v>
      </c>
      <c r="U50" s="1">
        <v>6.07</v>
      </c>
      <c r="V50" s="1">
        <f t="shared" si="0"/>
        <v>1.6474464579901154</v>
      </c>
    </row>
    <row r="51" spans="2:22" x14ac:dyDescent="0.3">
      <c r="B51" s="1">
        <v>49</v>
      </c>
      <c r="C51" s="1" t="s">
        <v>3</v>
      </c>
      <c r="E51" s="1">
        <v>20</v>
      </c>
      <c r="G51" s="1" t="s">
        <v>49</v>
      </c>
      <c r="H51" s="1" t="s">
        <v>12</v>
      </c>
      <c r="I51" s="1">
        <v>0.75</v>
      </c>
      <c r="J51" s="1">
        <v>0.25</v>
      </c>
      <c r="K51" s="1">
        <v>15</v>
      </c>
      <c r="L51" s="1">
        <v>15</v>
      </c>
      <c r="M51" s="1">
        <v>2</v>
      </c>
      <c r="P51" s="1">
        <v>0</v>
      </c>
      <c r="Q51" s="1">
        <v>0.96199999999999997</v>
      </c>
      <c r="S51" s="1" t="s">
        <v>60</v>
      </c>
      <c r="T51" s="1" t="s">
        <v>92</v>
      </c>
      <c r="U51" s="1">
        <v>6.07</v>
      </c>
      <c r="V51" s="1">
        <f t="shared" si="0"/>
        <v>3.2948929159802307</v>
      </c>
    </row>
    <row r="52" spans="2:22" x14ac:dyDescent="0.3">
      <c r="B52" s="1">
        <v>50</v>
      </c>
      <c r="C52" s="1" t="s">
        <v>3</v>
      </c>
      <c r="E52" s="1">
        <v>20</v>
      </c>
      <c r="G52" s="1" t="s">
        <v>49</v>
      </c>
      <c r="H52" s="1" t="s">
        <v>12</v>
      </c>
      <c r="I52" s="1">
        <v>0.75</v>
      </c>
      <c r="J52" s="1">
        <v>0.25</v>
      </c>
      <c r="K52" s="1">
        <v>20</v>
      </c>
      <c r="L52" s="1">
        <v>15</v>
      </c>
      <c r="M52" s="1">
        <v>2</v>
      </c>
      <c r="P52" s="1">
        <v>0</v>
      </c>
      <c r="Q52" s="1">
        <v>1.105</v>
      </c>
      <c r="S52" s="1" t="s">
        <v>60</v>
      </c>
      <c r="T52" s="1" t="s">
        <v>92</v>
      </c>
      <c r="U52" s="1">
        <v>6.07</v>
      </c>
      <c r="V52" s="1">
        <f t="shared" si="0"/>
        <v>3.2948929159802307</v>
      </c>
    </row>
    <row r="53" spans="2:22" x14ac:dyDescent="0.3">
      <c r="B53" s="1">
        <v>51</v>
      </c>
      <c r="C53" s="1" t="s">
        <v>3</v>
      </c>
      <c r="E53" s="1">
        <v>20</v>
      </c>
      <c r="G53" s="1" t="s">
        <v>49</v>
      </c>
      <c r="H53" s="1" t="s">
        <v>12</v>
      </c>
      <c r="I53" s="1">
        <v>0.75</v>
      </c>
      <c r="J53" s="1">
        <v>0.25</v>
      </c>
      <c r="K53" s="1">
        <v>10</v>
      </c>
      <c r="L53" s="1">
        <v>15</v>
      </c>
      <c r="M53" s="1">
        <v>2</v>
      </c>
      <c r="P53" s="1">
        <v>0</v>
      </c>
      <c r="Q53" s="1">
        <v>0.97699999999999998</v>
      </c>
      <c r="S53" s="1" t="s">
        <v>60</v>
      </c>
      <c r="T53" s="1" t="s">
        <v>92</v>
      </c>
      <c r="U53" s="1">
        <v>6.07</v>
      </c>
      <c r="V53" s="1">
        <f t="shared" si="0"/>
        <v>3.2948929159802307</v>
      </c>
    </row>
    <row r="54" spans="2:22" x14ac:dyDescent="0.3">
      <c r="B54" s="1">
        <v>52</v>
      </c>
      <c r="C54" s="1" t="s">
        <v>3</v>
      </c>
      <c r="E54" s="1">
        <v>20</v>
      </c>
      <c r="G54" s="1" t="s">
        <v>49</v>
      </c>
      <c r="H54" s="1" t="s">
        <v>12</v>
      </c>
      <c r="I54" s="1">
        <v>0.75</v>
      </c>
      <c r="J54" s="1">
        <v>0.25</v>
      </c>
      <c r="K54" s="1">
        <v>15</v>
      </c>
      <c r="L54" s="1">
        <v>15</v>
      </c>
      <c r="M54" s="1">
        <v>1</v>
      </c>
      <c r="P54" s="1">
        <v>0</v>
      </c>
      <c r="Q54" s="1">
        <v>0.61</v>
      </c>
      <c r="S54" s="1" t="s">
        <v>60</v>
      </c>
      <c r="T54" s="1" t="s">
        <v>92</v>
      </c>
      <c r="U54" s="1">
        <v>6.07</v>
      </c>
      <c r="V54" s="1">
        <f t="shared" si="0"/>
        <v>3.2948929159802307</v>
      </c>
    </row>
    <row r="55" spans="2:22" x14ac:dyDescent="0.3">
      <c r="B55" s="1">
        <v>53</v>
      </c>
      <c r="C55" s="1" t="s">
        <v>3</v>
      </c>
      <c r="E55" s="1">
        <v>20</v>
      </c>
      <c r="G55" s="1" t="s">
        <v>49</v>
      </c>
      <c r="H55" s="1" t="s">
        <v>12</v>
      </c>
      <c r="I55" s="1">
        <v>0.75</v>
      </c>
      <c r="J55" s="1">
        <v>0.25</v>
      </c>
      <c r="K55" s="1">
        <v>20</v>
      </c>
      <c r="L55" s="1">
        <v>15</v>
      </c>
      <c r="M55" s="1">
        <v>1</v>
      </c>
      <c r="P55" s="1">
        <v>0</v>
      </c>
      <c r="Q55" s="1">
        <v>0.95599999999999996</v>
      </c>
      <c r="S55" s="1" t="s">
        <v>60</v>
      </c>
      <c r="T55" s="1" t="s">
        <v>92</v>
      </c>
      <c r="U55" s="1">
        <v>6.07</v>
      </c>
      <c r="V55" s="1">
        <f t="shared" si="0"/>
        <v>3.2948929159802307</v>
      </c>
    </row>
    <row r="56" spans="2:22" x14ac:dyDescent="0.3">
      <c r="B56" s="1">
        <v>54</v>
      </c>
      <c r="C56" s="1" t="s">
        <v>3</v>
      </c>
      <c r="E56" s="1">
        <v>20</v>
      </c>
      <c r="G56" s="1" t="s">
        <v>49</v>
      </c>
      <c r="H56" s="1" t="s">
        <v>12</v>
      </c>
      <c r="I56" s="1">
        <v>0.75</v>
      </c>
      <c r="J56" s="1">
        <v>0.25</v>
      </c>
      <c r="K56" s="1">
        <v>10</v>
      </c>
      <c r="L56" s="1">
        <v>15</v>
      </c>
      <c r="M56" s="1">
        <v>1</v>
      </c>
      <c r="P56" s="1">
        <v>0</v>
      </c>
      <c r="Q56" s="1">
        <v>1.6120000000000001</v>
      </c>
      <c r="S56" s="1" t="s">
        <v>60</v>
      </c>
      <c r="T56" s="1" t="s">
        <v>92</v>
      </c>
      <c r="U56" s="1">
        <v>6.07</v>
      </c>
      <c r="V56" s="1">
        <f t="shared" si="0"/>
        <v>3.2948929159802307</v>
      </c>
    </row>
    <row r="57" spans="2:22" x14ac:dyDescent="0.3">
      <c r="B57" s="1">
        <v>55</v>
      </c>
      <c r="C57" s="1" t="s">
        <v>3</v>
      </c>
      <c r="E57" s="1">
        <v>20</v>
      </c>
      <c r="G57" s="1" t="s">
        <v>49</v>
      </c>
      <c r="H57" s="1" t="s">
        <v>12</v>
      </c>
      <c r="I57" s="1">
        <v>0.75</v>
      </c>
      <c r="J57" s="1">
        <v>0.25</v>
      </c>
      <c r="K57" s="1">
        <v>15</v>
      </c>
      <c r="L57" s="1">
        <v>10</v>
      </c>
      <c r="M57" s="1">
        <v>2</v>
      </c>
      <c r="P57" s="1">
        <v>0</v>
      </c>
      <c r="Q57" s="1">
        <v>0.79100000000000004</v>
      </c>
      <c r="S57" s="1" t="s">
        <v>60</v>
      </c>
      <c r="T57" s="1" t="s">
        <v>92</v>
      </c>
      <c r="U57" s="1">
        <v>6.07</v>
      </c>
      <c r="V57" s="1">
        <f t="shared" si="0"/>
        <v>3.2948929159802307</v>
      </c>
    </row>
    <row r="58" spans="2:22" x14ac:dyDescent="0.3">
      <c r="B58" s="1">
        <v>56</v>
      </c>
      <c r="C58" s="1" t="s">
        <v>3</v>
      </c>
      <c r="E58" s="1">
        <v>15</v>
      </c>
      <c r="G58" s="1" t="s">
        <v>49</v>
      </c>
      <c r="H58" s="1" t="s">
        <v>12</v>
      </c>
      <c r="I58" s="1">
        <v>0.75</v>
      </c>
      <c r="J58" s="1">
        <v>0.25</v>
      </c>
      <c r="K58" s="1">
        <v>10</v>
      </c>
      <c r="L58" s="1">
        <v>15</v>
      </c>
      <c r="M58" s="1">
        <v>1</v>
      </c>
      <c r="P58" s="1">
        <v>0</v>
      </c>
      <c r="Q58" s="1">
        <v>0.435</v>
      </c>
      <c r="S58" s="1" t="s">
        <v>60</v>
      </c>
      <c r="T58" s="1" t="s">
        <v>92</v>
      </c>
      <c r="U58" s="1">
        <v>6.07</v>
      </c>
      <c r="V58" s="1">
        <f t="shared" si="0"/>
        <v>2.4711696869851729</v>
      </c>
    </row>
    <row r="59" spans="2:22" x14ac:dyDescent="0.3">
      <c r="B59" s="1">
        <v>57</v>
      </c>
      <c r="C59" s="1" t="s">
        <v>3</v>
      </c>
      <c r="E59" s="1">
        <v>15</v>
      </c>
      <c r="G59" s="1" t="s">
        <v>49</v>
      </c>
      <c r="H59" s="1" t="s">
        <v>12</v>
      </c>
      <c r="I59" s="1">
        <v>0.75</v>
      </c>
      <c r="J59" s="1">
        <v>0.25</v>
      </c>
      <c r="K59" s="1">
        <v>15</v>
      </c>
      <c r="L59" s="1">
        <v>15</v>
      </c>
      <c r="M59" s="1">
        <v>1</v>
      </c>
      <c r="P59" s="1">
        <v>0</v>
      </c>
      <c r="Q59" s="1">
        <v>0.36499999999999999</v>
      </c>
      <c r="S59" s="1" t="s">
        <v>60</v>
      </c>
      <c r="T59" s="1" t="s">
        <v>92</v>
      </c>
      <c r="U59" s="1">
        <v>6.07</v>
      </c>
      <c r="V59" s="1">
        <f t="shared" si="0"/>
        <v>2.4711696869851729</v>
      </c>
    </row>
    <row r="60" spans="2:22" x14ac:dyDescent="0.3">
      <c r="B60" s="1">
        <v>58</v>
      </c>
      <c r="C60" s="1" t="s">
        <v>3</v>
      </c>
      <c r="E60" s="1">
        <v>15</v>
      </c>
      <c r="G60" s="1" t="s">
        <v>49</v>
      </c>
      <c r="H60" s="1" t="s">
        <v>12</v>
      </c>
      <c r="I60" s="1">
        <v>0.75</v>
      </c>
      <c r="J60" s="1">
        <v>0.25</v>
      </c>
      <c r="K60" s="1">
        <v>20</v>
      </c>
      <c r="L60" s="1">
        <v>15</v>
      </c>
      <c r="M60" s="1">
        <v>1</v>
      </c>
      <c r="P60" s="1">
        <v>0</v>
      </c>
      <c r="Q60" s="1">
        <v>0.47399999999999998</v>
      </c>
      <c r="S60" s="1" t="s">
        <v>60</v>
      </c>
      <c r="T60" s="1" t="s">
        <v>92</v>
      </c>
      <c r="U60" s="1">
        <v>6.07</v>
      </c>
      <c r="V60" s="1">
        <f t="shared" si="0"/>
        <v>2.4711696869851729</v>
      </c>
    </row>
    <row r="61" spans="2:22" x14ac:dyDescent="0.3">
      <c r="B61" s="1">
        <v>59</v>
      </c>
      <c r="C61" s="1" t="s">
        <v>3</v>
      </c>
      <c r="E61" s="1">
        <v>15</v>
      </c>
      <c r="G61" s="1" t="s">
        <v>49</v>
      </c>
      <c r="H61" s="1" t="s">
        <v>12</v>
      </c>
      <c r="I61" s="1">
        <v>0.75</v>
      </c>
      <c r="J61" s="1">
        <v>0.25</v>
      </c>
      <c r="K61" s="1">
        <v>10</v>
      </c>
      <c r="L61" s="1">
        <v>15</v>
      </c>
      <c r="M61" s="1">
        <v>2</v>
      </c>
      <c r="P61" s="1">
        <v>0</v>
      </c>
      <c r="Q61" s="1">
        <v>0.29499999999999998</v>
      </c>
      <c r="S61" s="1" t="s">
        <v>60</v>
      </c>
      <c r="T61" s="1" t="s">
        <v>92</v>
      </c>
      <c r="U61" s="1">
        <v>6.07</v>
      </c>
      <c r="V61" s="1">
        <f t="shared" si="0"/>
        <v>2.4711696869851729</v>
      </c>
    </row>
    <row r="62" spans="2:22" x14ac:dyDescent="0.3">
      <c r="B62" s="1">
        <v>60</v>
      </c>
      <c r="C62" s="1" t="s">
        <v>3</v>
      </c>
      <c r="E62" s="1">
        <v>15</v>
      </c>
      <c r="G62" s="1" t="s">
        <v>49</v>
      </c>
      <c r="H62" s="1" t="s">
        <v>12</v>
      </c>
      <c r="I62" s="1">
        <v>0.75</v>
      </c>
      <c r="J62" s="1">
        <v>0.25</v>
      </c>
      <c r="K62" s="1">
        <v>15</v>
      </c>
      <c r="L62" s="1">
        <v>15</v>
      </c>
      <c r="M62" s="1">
        <v>2</v>
      </c>
      <c r="P62" s="1">
        <v>0</v>
      </c>
      <c r="Q62" s="1">
        <v>0.39600000000000002</v>
      </c>
      <c r="S62" s="1" t="s">
        <v>60</v>
      </c>
      <c r="T62" s="1" t="s">
        <v>92</v>
      </c>
      <c r="U62" s="1">
        <v>6.07</v>
      </c>
      <c r="V62" s="1">
        <f t="shared" si="0"/>
        <v>2.4711696869851729</v>
      </c>
    </row>
    <row r="63" spans="2:22" x14ac:dyDescent="0.3">
      <c r="B63" s="1">
        <v>61</v>
      </c>
      <c r="C63" s="1" t="s">
        <v>3</v>
      </c>
      <c r="E63" s="1">
        <v>15</v>
      </c>
      <c r="G63" s="1" t="s">
        <v>49</v>
      </c>
      <c r="H63" s="1" t="s">
        <v>12</v>
      </c>
      <c r="I63" s="1">
        <v>0.75</v>
      </c>
      <c r="J63" s="1">
        <v>0.25</v>
      </c>
      <c r="K63" s="1">
        <v>20</v>
      </c>
      <c r="L63" s="1">
        <v>15</v>
      </c>
      <c r="M63" s="1">
        <v>2</v>
      </c>
      <c r="P63" s="1">
        <v>0</v>
      </c>
      <c r="Q63" s="1">
        <v>0.42199999999999999</v>
      </c>
      <c r="S63" s="1" t="s">
        <v>60</v>
      </c>
      <c r="T63" s="1" t="s">
        <v>92</v>
      </c>
      <c r="U63" s="1">
        <v>6.07</v>
      </c>
      <c r="V63" s="1">
        <f t="shared" si="0"/>
        <v>2.4711696869851729</v>
      </c>
    </row>
    <row r="64" spans="2:22" x14ac:dyDescent="0.3">
      <c r="B64" s="1">
        <v>62</v>
      </c>
      <c r="C64" s="1" t="s">
        <v>3</v>
      </c>
      <c r="E64" s="1">
        <v>15</v>
      </c>
      <c r="G64" s="1" t="s">
        <v>49</v>
      </c>
      <c r="H64" s="1" t="s">
        <v>12</v>
      </c>
      <c r="I64" s="1">
        <v>0.75</v>
      </c>
      <c r="J64" s="1">
        <v>0.25</v>
      </c>
      <c r="K64" s="1">
        <v>15</v>
      </c>
      <c r="L64" s="1">
        <v>10</v>
      </c>
      <c r="M64" s="1">
        <v>1</v>
      </c>
      <c r="P64" s="1">
        <v>0</v>
      </c>
      <c r="Q64" s="1">
        <v>0.45700000000000002</v>
      </c>
      <c r="S64" s="1" t="s">
        <v>60</v>
      </c>
      <c r="T64" s="1" t="s">
        <v>92</v>
      </c>
      <c r="U64" s="1">
        <v>6.07</v>
      </c>
      <c r="V64" s="1">
        <f t="shared" si="0"/>
        <v>2.4711696869851729</v>
      </c>
    </row>
    <row r="65" spans="2:22" x14ac:dyDescent="0.3">
      <c r="B65" s="1">
        <v>63</v>
      </c>
      <c r="C65" s="1" t="s">
        <v>3</v>
      </c>
      <c r="E65" s="1">
        <v>15</v>
      </c>
      <c r="G65" s="1" t="s">
        <v>49</v>
      </c>
      <c r="H65" s="1" t="s">
        <v>12</v>
      </c>
      <c r="I65" s="1">
        <v>0.75</v>
      </c>
      <c r="J65" s="1">
        <v>0.25</v>
      </c>
      <c r="K65" s="1">
        <v>15</v>
      </c>
      <c r="L65" s="1">
        <v>20</v>
      </c>
      <c r="M65" s="1">
        <v>1</v>
      </c>
      <c r="P65" s="1">
        <v>0</v>
      </c>
      <c r="Q65" s="1">
        <v>0.59299999999999997</v>
      </c>
      <c r="S65" s="1" t="s">
        <v>60</v>
      </c>
      <c r="T65" s="1" t="s">
        <v>92</v>
      </c>
      <c r="U65" s="1">
        <v>6.07</v>
      </c>
      <c r="V65" s="1">
        <f t="shared" si="0"/>
        <v>2.4711696869851729</v>
      </c>
    </row>
    <row r="66" spans="2:22" x14ac:dyDescent="0.3">
      <c r="B66" s="1">
        <v>64</v>
      </c>
      <c r="C66" s="1" t="s">
        <v>3</v>
      </c>
      <c r="E66" s="1">
        <v>15</v>
      </c>
      <c r="G66" s="1" t="s">
        <v>49</v>
      </c>
      <c r="H66" s="1" t="s">
        <v>12</v>
      </c>
      <c r="I66" s="1">
        <v>0.75</v>
      </c>
      <c r="J66" s="1">
        <v>0.25</v>
      </c>
      <c r="K66" s="1">
        <v>15</v>
      </c>
      <c r="L66" s="1">
        <v>25</v>
      </c>
      <c r="M66" s="1">
        <v>1</v>
      </c>
      <c r="P66" s="1">
        <v>0</v>
      </c>
      <c r="Q66" s="1">
        <v>0.53600000000000003</v>
      </c>
      <c r="S66" s="1" t="s">
        <v>60</v>
      </c>
      <c r="T66" s="1" t="s">
        <v>92</v>
      </c>
      <c r="U66" s="1">
        <v>6.07</v>
      </c>
      <c r="V66" s="1">
        <f t="shared" si="0"/>
        <v>2.4711696869851729</v>
      </c>
    </row>
    <row r="67" spans="2:22" x14ac:dyDescent="0.3">
      <c r="B67" s="1">
        <v>65</v>
      </c>
      <c r="C67" s="1" t="s">
        <v>3</v>
      </c>
      <c r="E67" s="1">
        <v>15</v>
      </c>
      <c r="G67" s="1" t="s">
        <v>49</v>
      </c>
      <c r="H67" s="1" t="s">
        <v>12</v>
      </c>
      <c r="I67" s="1">
        <v>0.75</v>
      </c>
      <c r="J67" s="1">
        <v>0.25</v>
      </c>
      <c r="K67" s="1">
        <v>15</v>
      </c>
      <c r="L67" s="1">
        <v>15</v>
      </c>
      <c r="M67" s="1">
        <v>1</v>
      </c>
      <c r="P67" s="1">
        <v>0</v>
      </c>
      <c r="Q67" s="1">
        <v>0.45600000000000002</v>
      </c>
      <c r="S67" s="1" t="s">
        <v>60</v>
      </c>
      <c r="T67" s="1" t="s">
        <v>92</v>
      </c>
      <c r="U67" s="1">
        <v>6.07</v>
      </c>
      <c r="V67" s="1">
        <f t="shared" ref="V67:V97" si="1">(E67+F67)/U67</f>
        <v>2.4711696869851729</v>
      </c>
    </row>
    <row r="69" spans="2:22" x14ac:dyDescent="0.3">
      <c r="B69" s="1">
        <v>66</v>
      </c>
      <c r="C69" s="1" t="s">
        <v>3</v>
      </c>
      <c r="E69" s="1">
        <v>14</v>
      </c>
      <c r="G69" s="1" t="s">
        <v>49</v>
      </c>
      <c r="H69" s="1" t="s">
        <v>50</v>
      </c>
      <c r="I69" s="1">
        <v>0.5</v>
      </c>
      <c r="J69" s="1">
        <v>0.5</v>
      </c>
      <c r="K69" s="1">
        <v>10</v>
      </c>
      <c r="L69" s="1">
        <v>14</v>
      </c>
      <c r="M69" s="1">
        <v>1.5</v>
      </c>
      <c r="P69" s="1">
        <v>0</v>
      </c>
      <c r="Q69" s="1">
        <v>0.30499999999999999</v>
      </c>
      <c r="S69" s="1" t="s">
        <v>60</v>
      </c>
      <c r="T69" s="1" t="s">
        <v>93</v>
      </c>
      <c r="U69" s="1">
        <v>2.3199999999999998</v>
      </c>
      <c r="V69" s="1">
        <f t="shared" si="1"/>
        <v>6.0344827586206904</v>
      </c>
    </row>
    <row r="70" spans="2:22" x14ac:dyDescent="0.3">
      <c r="B70" s="1">
        <v>67</v>
      </c>
      <c r="C70" s="1" t="s">
        <v>48</v>
      </c>
      <c r="E70" s="1">
        <v>8</v>
      </c>
      <c r="G70" s="1" t="s">
        <v>51</v>
      </c>
      <c r="H70" s="1">
        <v>0</v>
      </c>
      <c r="I70" s="1">
        <v>1</v>
      </c>
      <c r="K70" s="1">
        <v>23</v>
      </c>
      <c r="L70" s="1">
        <v>19</v>
      </c>
      <c r="M70" s="1">
        <v>0.8</v>
      </c>
      <c r="P70" s="1">
        <v>0</v>
      </c>
      <c r="Q70" s="1">
        <v>6.0999999999999999E-2</v>
      </c>
      <c r="S70" s="1" t="s">
        <v>60</v>
      </c>
      <c r="T70" s="1" t="s">
        <v>64</v>
      </c>
      <c r="U70" s="1">
        <v>7</v>
      </c>
      <c r="V70" s="1">
        <f t="shared" si="1"/>
        <v>1.1428571428571428</v>
      </c>
    </row>
    <row r="71" spans="2:22" x14ac:dyDescent="0.3">
      <c r="B71" s="1">
        <v>68</v>
      </c>
      <c r="C71" s="1" t="s">
        <v>48</v>
      </c>
      <c r="E71" s="1">
        <v>10</v>
      </c>
      <c r="G71" s="1" t="s">
        <v>51</v>
      </c>
      <c r="H71" s="1">
        <v>0</v>
      </c>
      <c r="I71" s="1">
        <v>1</v>
      </c>
      <c r="K71" s="1">
        <v>18</v>
      </c>
      <c r="L71" s="1">
        <v>19</v>
      </c>
      <c r="M71" s="1">
        <v>0.8</v>
      </c>
      <c r="P71" s="1">
        <v>0</v>
      </c>
      <c r="Q71" s="1">
        <v>0.188</v>
      </c>
      <c r="S71" s="1" t="s">
        <v>60</v>
      </c>
      <c r="T71" s="1" t="s">
        <v>64</v>
      </c>
      <c r="U71" s="1">
        <v>7</v>
      </c>
      <c r="V71" s="1">
        <f t="shared" si="1"/>
        <v>1.4285714285714286</v>
      </c>
    </row>
    <row r="73" spans="2:22" x14ac:dyDescent="0.3">
      <c r="B73" s="1">
        <v>69</v>
      </c>
      <c r="C73" s="1" t="s">
        <v>52</v>
      </c>
      <c r="E73" s="1">
        <v>5</v>
      </c>
      <c r="G73" s="1" t="s">
        <v>51</v>
      </c>
      <c r="I73" s="1">
        <v>1</v>
      </c>
      <c r="K73" s="1">
        <v>10</v>
      </c>
      <c r="L73" s="1">
        <v>15</v>
      </c>
      <c r="M73" s="1">
        <v>1</v>
      </c>
      <c r="P73" s="1">
        <v>0</v>
      </c>
      <c r="Q73" s="1">
        <v>0.28000000000000003</v>
      </c>
      <c r="S73" s="1" t="s">
        <v>94</v>
      </c>
      <c r="T73" s="1" t="s">
        <v>64</v>
      </c>
      <c r="U73" s="1">
        <v>11.23</v>
      </c>
      <c r="V73" s="1">
        <f t="shared" si="1"/>
        <v>0.44523597506678536</v>
      </c>
    </row>
    <row r="74" spans="2:22" x14ac:dyDescent="0.3">
      <c r="B74" s="1">
        <v>70</v>
      </c>
      <c r="C74" s="1" t="s">
        <v>52</v>
      </c>
      <c r="E74" s="1">
        <v>7.5</v>
      </c>
      <c r="G74" s="1" t="s">
        <v>51</v>
      </c>
      <c r="I74" s="1">
        <v>1</v>
      </c>
      <c r="K74" s="1">
        <v>10</v>
      </c>
      <c r="L74" s="1">
        <v>15</v>
      </c>
      <c r="M74" s="1">
        <v>1</v>
      </c>
      <c r="P74" s="1">
        <v>0</v>
      </c>
      <c r="Q74" s="1">
        <v>0.40200000000000002</v>
      </c>
      <c r="S74" s="1" t="s">
        <v>94</v>
      </c>
      <c r="T74" s="1" t="s">
        <v>64</v>
      </c>
      <c r="U74" s="1">
        <v>11.23</v>
      </c>
      <c r="V74" s="1">
        <f t="shared" si="1"/>
        <v>0.66785396260017804</v>
      </c>
    </row>
    <row r="75" spans="2:22" x14ac:dyDescent="0.3">
      <c r="B75" s="1">
        <v>71</v>
      </c>
      <c r="C75" s="1" t="s">
        <v>52</v>
      </c>
      <c r="E75" s="1">
        <v>10</v>
      </c>
      <c r="G75" s="1" t="s">
        <v>51</v>
      </c>
      <c r="I75" s="1">
        <v>1</v>
      </c>
      <c r="K75" s="1">
        <v>10</v>
      </c>
      <c r="L75" s="1">
        <v>15</v>
      </c>
      <c r="M75" s="1">
        <v>1</v>
      </c>
      <c r="P75" s="1">
        <v>0</v>
      </c>
      <c r="Q75" s="1">
        <v>1.621</v>
      </c>
      <c r="S75" s="1" t="s">
        <v>94</v>
      </c>
      <c r="T75" s="1" t="s">
        <v>64</v>
      </c>
      <c r="U75" s="1">
        <v>11.23</v>
      </c>
      <c r="V75" s="1">
        <f t="shared" si="1"/>
        <v>0.89047195013357072</v>
      </c>
    </row>
    <row r="76" spans="2:22" x14ac:dyDescent="0.3">
      <c r="B76" s="1">
        <v>72</v>
      </c>
      <c r="C76" s="1" t="s">
        <v>52</v>
      </c>
      <c r="E76" s="1">
        <v>5</v>
      </c>
      <c r="G76" s="1" t="s">
        <v>51</v>
      </c>
      <c r="I76" s="1">
        <v>1</v>
      </c>
      <c r="J76" s="1">
        <v>0</v>
      </c>
      <c r="K76" s="1">
        <v>10</v>
      </c>
      <c r="L76" s="1">
        <v>15</v>
      </c>
      <c r="M76" s="1">
        <v>1</v>
      </c>
      <c r="P76" s="1">
        <v>0</v>
      </c>
      <c r="Q76" s="1">
        <v>0.219</v>
      </c>
      <c r="S76" s="1" t="s">
        <v>94</v>
      </c>
      <c r="T76" s="1" t="s">
        <v>64</v>
      </c>
      <c r="U76" s="1">
        <v>11.23</v>
      </c>
      <c r="V76" s="1">
        <f t="shared" si="1"/>
        <v>0.44523597506678536</v>
      </c>
    </row>
    <row r="77" spans="2:22" x14ac:dyDescent="0.3">
      <c r="B77" s="1">
        <v>73</v>
      </c>
      <c r="C77" s="1" t="s">
        <v>52</v>
      </c>
      <c r="E77" s="1">
        <v>10</v>
      </c>
      <c r="G77" s="1" t="s">
        <v>51</v>
      </c>
      <c r="I77" s="1">
        <v>1</v>
      </c>
      <c r="J77" s="1">
        <v>0</v>
      </c>
      <c r="K77" s="1">
        <v>10</v>
      </c>
      <c r="L77" s="1">
        <v>15</v>
      </c>
      <c r="M77" s="1">
        <v>1</v>
      </c>
      <c r="P77" s="1">
        <v>0</v>
      </c>
      <c r="Q77" s="1">
        <v>3.5139999999999998</v>
      </c>
      <c r="S77" s="1" t="s">
        <v>94</v>
      </c>
      <c r="T77" s="1" t="s">
        <v>64</v>
      </c>
      <c r="U77" s="1">
        <v>11.23</v>
      </c>
      <c r="V77" s="1">
        <f t="shared" si="1"/>
        <v>0.89047195013357072</v>
      </c>
    </row>
    <row r="78" spans="2:22" x14ac:dyDescent="0.3">
      <c r="B78" s="1">
        <v>74</v>
      </c>
      <c r="C78" s="1" t="s">
        <v>52</v>
      </c>
      <c r="E78" s="1">
        <v>10</v>
      </c>
      <c r="G78" s="1" t="s">
        <v>51</v>
      </c>
      <c r="H78" s="1" t="s">
        <v>53</v>
      </c>
      <c r="I78" s="1">
        <v>0.95</v>
      </c>
      <c r="J78" s="1">
        <v>0.05</v>
      </c>
      <c r="K78" s="1">
        <v>10</v>
      </c>
      <c r="L78" s="1">
        <v>15</v>
      </c>
      <c r="M78" s="1">
        <v>1</v>
      </c>
      <c r="P78" s="1">
        <v>0</v>
      </c>
      <c r="Q78" s="1">
        <v>0.79600000000000004</v>
      </c>
      <c r="S78" s="1" t="s">
        <v>94</v>
      </c>
      <c r="T78" s="1" t="s">
        <v>95</v>
      </c>
      <c r="U78" s="1">
        <v>10.75</v>
      </c>
      <c r="V78" s="1">
        <f t="shared" si="1"/>
        <v>0.93023255813953487</v>
      </c>
    </row>
    <row r="80" spans="2:22" x14ac:dyDescent="0.3">
      <c r="B80" s="1">
        <v>76</v>
      </c>
      <c r="C80" s="1" t="s">
        <v>52</v>
      </c>
      <c r="E80" s="1">
        <v>10</v>
      </c>
      <c r="G80" s="1" t="s">
        <v>20</v>
      </c>
      <c r="H80" s="1" t="s">
        <v>54</v>
      </c>
      <c r="I80" s="1">
        <v>0.95</v>
      </c>
      <c r="J80" s="1">
        <v>0.05</v>
      </c>
      <c r="K80" s="1">
        <v>10</v>
      </c>
      <c r="L80" s="1">
        <v>15</v>
      </c>
      <c r="M80" s="1">
        <v>1</v>
      </c>
      <c r="P80" s="1">
        <v>0</v>
      </c>
      <c r="Q80" s="1">
        <v>0.4</v>
      </c>
      <c r="S80" s="1" t="s">
        <v>94</v>
      </c>
      <c r="T80" s="1" t="s">
        <v>96</v>
      </c>
      <c r="U80" s="1">
        <v>8.9</v>
      </c>
      <c r="V80" s="1">
        <f t="shared" si="1"/>
        <v>1.1235955056179774</v>
      </c>
    </row>
    <row r="81" spans="1:22" x14ac:dyDescent="0.3">
      <c r="B81" s="1">
        <v>77</v>
      </c>
      <c r="C81" s="1" t="s">
        <v>52</v>
      </c>
      <c r="E81" s="1">
        <v>10</v>
      </c>
      <c r="G81" s="1" t="s">
        <v>20</v>
      </c>
      <c r="H81" s="1" t="s">
        <v>54</v>
      </c>
      <c r="I81" s="1">
        <v>0.9</v>
      </c>
      <c r="J81" s="1">
        <v>0.1</v>
      </c>
      <c r="K81" s="1">
        <v>10</v>
      </c>
      <c r="L81" s="1">
        <v>15</v>
      </c>
      <c r="M81" s="1">
        <v>1</v>
      </c>
      <c r="P81" s="1">
        <v>0</v>
      </c>
      <c r="Q81" s="1">
        <v>0.21</v>
      </c>
      <c r="S81" s="1" t="s">
        <v>94</v>
      </c>
      <c r="T81" s="1" t="s">
        <v>96</v>
      </c>
      <c r="U81" s="1">
        <v>8.9</v>
      </c>
      <c r="V81" s="1">
        <f t="shared" si="1"/>
        <v>1.1235955056179774</v>
      </c>
    </row>
    <row r="82" spans="1:22" x14ac:dyDescent="0.3">
      <c r="B82" s="1">
        <v>78</v>
      </c>
      <c r="C82" s="1" t="s">
        <v>52</v>
      </c>
      <c r="E82" s="1">
        <v>10</v>
      </c>
      <c r="G82" s="1" t="s">
        <v>20</v>
      </c>
      <c r="H82" s="1" t="s">
        <v>54</v>
      </c>
      <c r="I82" s="1">
        <v>0.85</v>
      </c>
      <c r="J82" s="1">
        <v>0.15</v>
      </c>
      <c r="K82" s="1">
        <v>10</v>
      </c>
      <c r="L82" s="1">
        <v>15</v>
      </c>
      <c r="M82" s="1">
        <v>1</v>
      </c>
      <c r="P82" s="1">
        <v>0</v>
      </c>
      <c r="Q82" s="1">
        <v>0.18</v>
      </c>
      <c r="S82" s="1" t="s">
        <v>94</v>
      </c>
      <c r="T82" s="1" t="s">
        <v>96</v>
      </c>
      <c r="U82" s="1">
        <v>8.9</v>
      </c>
      <c r="V82" s="1">
        <f t="shared" si="1"/>
        <v>1.1235955056179774</v>
      </c>
    </row>
    <row r="83" spans="1:22" x14ac:dyDescent="0.3">
      <c r="B83" s="1">
        <v>79</v>
      </c>
      <c r="C83" s="1" t="s">
        <v>52</v>
      </c>
      <c r="E83" s="1">
        <v>15</v>
      </c>
      <c r="G83" s="1" t="s">
        <v>20</v>
      </c>
      <c r="H83" s="1" t="s">
        <v>54</v>
      </c>
      <c r="I83" s="1">
        <v>0.95</v>
      </c>
      <c r="J83" s="1">
        <v>0.05</v>
      </c>
      <c r="K83" s="1">
        <v>10</v>
      </c>
      <c r="L83" s="1">
        <v>15</v>
      </c>
      <c r="M83" s="1">
        <v>1</v>
      </c>
      <c r="P83" s="1">
        <v>0</v>
      </c>
      <c r="Q83" s="1">
        <v>5.13</v>
      </c>
      <c r="S83" s="1" t="s">
        <v>94</v>
      </c>
      <c r="T83" s="1" t="s">
        <v>96</v>
      </c>
      <c r="U83" s="1">
        <v>8.9</v>
      </c>
      <c r="V83" s="1">
        <f t="shared" si="1"/>
        <v>1.6853932584269662</v>
      </c>
    </row>
    <row r="84" spans="1:22" x14ac:dyDescent="0.3">
      <c r="B84" s="1">
        <v>80</v>
      </c>
      <c r="C84" s="1" t="s">
        <v>52</v>
      </c>
      <c r="E84" s="1">
        <v>15</v>
      </c>
      <c r="G84" s="1" t="s">
        <v>20</v>
      </c>
      <c r="H84" s="1" t="s">
        <v>54</v>
      </c>
      <c r="I84" s="1">
        <v>0.9</v>
      </c>
      <c r="J84" s="1">
        <v>0.1</v>
      </c>
      <c r="K84" s="1">
        <v>10</v>
      </c>
      <c r="L84" s="1">
        <v>15</v>
      </c>
      <c r="M84" s="1">
        <v>1</v>
      </c>
      <c r="P84" s="1">
        <v>0</v>
      </c>
      <c r="Q84" s="1">
        <v>3.45</v>
      </c>
      <c r="S84" s="1" t="s">
        <v>94</v>
      </c>
      <c r="T84" s="1" t="s">
        <v>96</v>
      </c>
      <c r="U84" s="1">
        <v>8.9</v>
      </c>
      <c r="V84" s="1">
        <f t="shared" si="1"/>
        <v>1.6853932584269662</v>
      </c>
    </row>
    <row r="85" spans="1:22" x14ac:dyDescent="0.3">
      <c r="B85" s="1">
        <v>81</v>
      </c>
      <c r="C85" s="1" t="s">
        <v>52</v>
      </c>
      <c r="E85" s="1">
        <v>15</v>
      </c>
      <c r="G85" s="1" t="s">
        <v>20</v>
      </c>
      <c r="H85" s="1" t="s">
        <v>54</v>
      </c>
      <c r="I85" s="1">
        <v>0.85</v>
      </c>
      <c r="J85" s="1">
        <v>0.15</v>
      </c>
      <c r="K85" s="1">
        <v>10</v>
      </c>
      <c r="L85" s="1">
        <v>15</v>
      </c>
      <c r="M85" s="1">
        <v>1</v>
      </c>
      <c r="P85" s="1">
        <v>0</v>
      </c>
      <c r="Q85" s="1">
        <v>2.66</v>
      </c>
      <c r="S85" s="1" t="s">
        <v>94</v>
      </c>
      <c r="T85" s="1" t="s">
        <v>96</v>
      </c>
      <c r="U85" s="1">
        <v>8.9</v>
      </c>
      <c r="V85" s="1">
        <f t="shared" si="1"/>
        <v>1.6853932584269662</v>
      </c>
    </row>
    <row r="87" spans="1:22" x14ac:dyDescent="0.3">
      <c r="A87" s="1" t="s">
        <v>55</v>
      </c>
      <c r="B87" s="1">
        <v>82</v>
      </c>
      <c r="C87" s="1" t="s">
        <v>52</v>
      </c>
      <c r="E87" s="1">
        <v>8.5</v>
      </c>
      <c r="G87" s="1" t="s">
        <v>56</v>
      </c>
      <c r="H87" s="1" t="s">
        <v>54</v>
      </c>
      <c r="I87" s="1">
        <v>0.8</v>
      </c>
      <c r="J87" s="1">
        <v>0.2</v>
      </c>
      <c r="K87" s="1">
        <v>9</v>
      </c>
      <c r="L87" s="1">
        <v>11</v>
      </c>
      <c r="M87" s="1">
        <v>0.8</v>
      </c>
      <c r="P87" s="1">
        <v>0</v>
      </c>
      <c r="Q87" s="1">
        <v>0.19500000000000001</v>
      </c>
      <c r="S87" s="1" t="s">
        <v>94</v>
      </c>
      <c r="T87" s="1" t="s">
        <v>97</v>
      </c>
      <c r="U87" s="1">
        <v>10.5</v>
      </c>
      <c r="V87" s="1">
        <f t="shared" si="1"/>
        <v>0.80952380952380953</v>
      </c>
    </row>
    <row r="88" spans="1:22" x14ac:dyDescent="0.3">
      <c r="B88" s="1">
        <v>83</v>
      </c>
      <c r="C88" s="1" t="s">
        <v>4</v>
      </c>
      <c r="E88" s="1">
        <v>8.5</v>
      </c>
      <c r="G88" s="1" t="s">
        <v>56</v>
      </c>
      <c r="H88" s="1" t="s">
        <v>54</v>
      </c>
      <c r="I88" s="1">
        <v>0.8</v>
      </c>
      <c r="J88" s="1">
        <v>0.2</v>
      </c>
      <c r="K88" s="1">
        <v>10</v>
      </c>
      <c r="L88" s="1">
        <v>11</v>
      </c>
      <c r="M88" s="1">
        <v>0.8</v>
      </c>
      <c r="P88" s="1">
        <v>0</v>
      </c>
      <c r="Q88" s="1">
        <v>0.23200000000000001</v>
      </c>
      <c r="S88" s="1" t="s">
        <v>94</v>
      </c>
      <c r="T88" s="1" t="s">
        <v>97</v>
      </c>
      <c r="U88" s="1">
        <v>10.5</v>
      </c>
      <c r="V88" s="1">
        <f t="shared" si="1"/>
        <v>0.80952380952380953</v>
      </c>
    </row>
    <row r="89" spans="1:22" x14ac:dyDescent="0.3">
      <c r="B89" s="1">
        <v>84</v>
      </c>
      <c r="C89" s="1" t="s">
        <v>52</v>
      </c>
      <c r="E89" s="1">
        <v>8.5</v>
      </c>
      <c r="G89" s="1" t="s">
        <v>56</v>
      </c>
      <c r="H89" s="1" t="s">
        <v>54</v>
      </c>
      <c r="I89" s="1">
        <v>0.8</v>
      </c>
      <c r="J89" s="1">
        <v>0.2</v>
      </c>
      <c r="K89" s="1" t="s">
        <v>57</v>
      </c>
      <c r="L89" s="1">
        <v>11</v>
      </c>
      <c r="M89" s="1">
        <v>0.8</v>
      </c>
      <c r="P89" s="1">
        <v>0</v>
      </c>
      <c r="Q89" s="1">
        <v>0.215</v>
      </c>
      <c r="S89" s="1" t="s">
        <v>94</v>
      </c>
      <c r="T89" s="1" t="s">
        <v>97</v>
      </c>
      <c r="U89" s="1">
        <v>10.5</v>
      </c>
      <c r="V89" s="1">
        <f t="shared" si="1"/>
        <v>0.80952380952380953</v>
      </c>
    </row>
    <row r="90" spans="1:22" x14ac:dyDescent="0.3">
      <c r="B90" s="1">
        <v>85</v>
      </c>
      <c r="C90" s="1" t="s">
        <v>52</v>
      </c>
      <c r="E90" s="1">
        <v>10</v>
      </c>
      <c r="G90" s="1" t="s">
        <v>56</v>
      </c>
      <c r="H90" s="1" t="s">
        <v>54</v>
      </c>
      <c r="I90" s="1">
        <v>0.8</v>
      </c>
      <c r="J90" s="1">
        <v>0.2</v>
      </c>
      <c r="K90" s="1">
        <v>12</v>
      </c>
      <c r="L90" s="1">
        <v>10</v>
      </c>
      <c r="M90" s="1">
        <v>0.7</v>
      </c>
      <c r="P90" s="1">
        <v>0</v>
      </c>
      <c r="Q90" s="1">
        <v>0.13500000000000001</v>
      </c>
      <c r="S90" s="1" t="s">
        <v>94</v>
      </c>
      <c r="T90" s="1" t="s">
        <v>97</v>
      </c>
      <c r="U90" s="1">
        <v>10.5</v>
      </c>
      <c r="V90" s="1">
        <f t="shared" si="1"/>
        <v>0.95238095238095233</v>
      </c>
    </row>
    <row r="91" spans="1:22" x14ac:dyDescent="0.3">
      <c r="B91" s="1">
        <v>86</v>
      </c>
      <c r="C91" s="1" t="s">
        <v>52</v>
      </c>
      <c r="E91" s="1">
        <v>7.5</v>
      </c>
      <c r="G91" s="1" t="s">
        <v>56</v>
      </c>
      <c r="H91" s="1" t="s">
        <v>54</v>
      </c>
      <c r="I91" s="1">
        <v>0.9</v>
      </c>
      <c r="J91" s="1">
        <v>0.1</v>
      </c>
      <c r="K91" s="1">
        <v>9.5</v>
      </c>
      <c r="L91" s="1">
        <v>12</v>
      </c>
      <c r="M91" s="1">
        <v>0.5</v>
      </c>
      <c r="P91" s="1">
        <v>0</v>
      </c>
      <c r="Q91" s="1">
        <v>0.50900000000000001</v>
      </c>
      <c r="S91" s="1" t="s">
        <v>94</v>
      </c>
      <c r="T91" s="1" t="s">
        <v>97</v>
      </c>
      <c r="U91" s="1">
        <v>10.5</v>
      </c>
      <c r="V91" s="1">
        <f t="shared" si="1"/>
        <v>0.7142857142857143</v>
      </c>
    </row>
    <row r="92" spans="1:22" x14ac:dyDescent="0.3">
      <c r="B92" s="1">
        <v>87</v>
      </c>
      <c r="C92" s="1" t="s">
        <v>52</v>
      </c>
      <c r="E92" s="1">
        <v>10</v>
      </c>
      <c r="G92" s="1" t="s">
        <v>56</v>
      </c>
      <c r="H92" s="1" t="s">
        <v>54</v>
      </c>
      <c r="I92" s="1">
        <v>0.9</v>
      </c>
      <c r="J92" s="1">
        <v>0.1</v>
      </c>
      <c r="K92" s="1">
        <v>9</v>
      </c>
      <c r="L92" s="1">
        <v>10</v>
      </c>
      <c r="M92" s="1">
        <v>0.5</v>
      </c>
      <c r="P92" s="1">
        <v>0</v>
      </c>
      <c r="Q92" s="1">
        <v>0.308</v>
      </c>
      <c r="S92" s="1" t="s">
        <v>94</v>
      </c>
      <c r="T92" s="1" t="s">
        <v>97</v>
      </c>
      <c r="U92" s="1">
        <v>10.5</v>
      </c>
      <c r="V92" s="1">
        <f t="shared" si="1"/>
        <v>0.95238095238095233</v>
      </c>
    </row>
    <row r="93" spans="1:22" x14ac:dyDescent="0.3">
      <c r="B93" s="1">
        <v>88</v>
      </c>
      <c r="C93" s="1" t="s">
        <v>52</v>
      </c>
      <c r="E93" s="1">
        <v>10</v>
      </c>
      <c r="G93" s="1" t="s">
        <v>56</v>
      </c>
      <c r="H93" s="1" t="s">
        <v>54</v>
      </c>
      <c r="I93" s="1">
        <v>0.9</v>
      </c>
      <c r="J93" s="1">
        <v>0.1</v>
      </c>
      <c r="K93" s="1">
        <v>10</v>
      </c>
      <c r="L93" s="1">
        <v>12</v>
      </c>
      <c r="M93" s="1">
        <v>1.2</v>
      </c>
      <c r="P93" s="1">
        <v>0</v>
      </c>
      <c r="Q93" s="1">
        <v>0.28399999999999997</v>
      </c>
      <c r="S93" s="1" t="s">
        <v>94</v>
      </c>
      <c r="T93" s="1" t="s">
        <v>97</v>
      </c>
      <c r="U93" s="1">
        <v>10.5</v>
      </c>
      <c r="V93" s="1">
        <f t="shared" si="1"/>
        <v>0.95238095238095233</v>
      </c>
    </row>
    <row r="94" spans="1:22" x14ac:dyDescent="0.3">
      <c r="B94" s="1">
        <v>89</v>
      </c>
      <c r="C94" s="1" t="s">
        <v>52</v>
      </c>
      <c r="E94" s="1">
        <v>8.5</v>
      </c>
      <c r="G94" s="1" t="s">
        <v>56</v>
      </c>
      <c r="H94" s="1" t="s">
        <v>54</v>
      </c>
      <c r="I94" s="1">
        <v>0.8</v>
      </c>
      <c r="J94" s="1">
        <v>0.2</v>
      </c>
      <c r="K94" s="1">
        <v>11.5</v>
      </c>
      <c r="L94" s="1">
        <v>11</v>
      </c>
      <c r="M94" s="1">
        <v>0.8</v>
      </c>
      <c r="P94" s="1">
        <v>0</v>
      </c>
      <c r="Q94" s="1">
        <v>0.24199999999999999</v>
      </c>
      <c r="S94" s="1" t="s">
        <v>94</v>
      </c>
      <c r="T94" s="1" t="s">
        <v>97</v>
      </c>
      <c r="U94" s="1">
        <v>10.5</v>
      </c>
      <c r="V94" s="1">
        <f t="shared" si="1"/>
        <v>0.80952380952380953</v>
      </c>
    </row>
    <row r="95" spans="1:22" x14ac:dyDescent="0.3">
      <c r="B95" s="1">
        <v>90</v>
      </c>
      <c r="C95" s="1" t="s">
        <v>52</v>
      </c>
      <c r="E95" s="1">
        <v>8.5</v>
      </c>
      <c r="G95" s="1" t="s">
        <v>56</v>
      </c>
      <c r="H95" s="1" t="s">
        <v>54</v>
      </c>
      <c r="I95" s="1">
        <v>0.8</v>
      </c>
      <c r="J95" s="1">
        <v>0.2</v>
      </c>
      <c r="K95" s="1">
        <v>11</v>
      </c>
      <c r="L95" s="1">
        <v>11</v>
      </c>
      <c r="M95" s="1">
        <v>0.8</v>
      </c>
      <c r="P95" s="1">
        <v>0</v>
      </c>
      <c r="Q95" s="1">
        <v>0.22800000000000001</v>
      </c>
      <c r="S95" s="1" t="s">
        <v>94</v>
      </c>
      <c r="T95" s="1" t="s">
        <v>97</v>
      </c>
      <c r="U95" s="1">
        <v>10.5</v>
      </c>
      <c r="V95" s="1">
        <f t="shared" si="1"/>
        <v>0.80952380952380953</v>
      </c>
    </row>
    <row r="96" spans="1:22" x14ac:dyDescent="0.3">
      <c r="B96" s="1">
        <v>91</v>
      </c>
      <c r="C96" s="1" t="s">
        <v>52</v>
      </c>
      <c r="E96" s="1">
        <v>8.5</v>
      </c>
      <c r="G96" s="1" t="s">
        <v>56</v>
      </c>
      <c r="H96" s="1" t="s">
        <v>54</v>
      </c>
      <c r="I96" s="1">
        <v>0.8</v>
      </c>
      <c r="J96" s="1">
        <v>0.2</v>
      </c>
      <c r="K96" s="1">
        <v>10.5</v>
      </c>
      <c r="L96" s="1">
        <v>11</v>
      </c>
      <c r="M96" s="1">
        <v>0.8</v>
      </c>
      <c r="P96" s="1">
        <v>0</v>
      </c>
      <c r="Q96" s="1">
        <v>0.28299999999999997</v>
      </c>
      <c r="S96" s="1" t="s">
        <v>94</v>
      </c>
      <c r="T96" s="1" t="s">
        <v>97</v>
      </c>
      <c r="U96" s="1">
        <v>10.5</v>
      </c>
      <c r="V96" s="1">
        <f t="shared" si="1"/>
        <v>0.80952380952380953</v>
      </c>
    </row>
    <row r="97" spans="2:22" x14ac:dyDescent="0.3">
      <c r="B97" s="1">
        <v>92</v>
      </c>
      <c r="C97" s="1" t="s">
        <v>52</v>
      </c>
      <c r="E97" s="1">
        <v>8.5</v>
      </c>
      <c r="G97" s="1" t="s">
        <v>56</v>
      </c>
      <c r="H97" s="1" t="s">
        <v>54</v>
      </c>
      <c r="I97" s="1">
        <v>0.8</v>
      </c>
      <c r="J97" s="1">
        <v>0.2</v>
      </c>
      <c r="K97" s="1">
        <v>11</v>
      </c>
      <c r="L97" s="1">
        <v>11</v>
      </c>
      <c r="M97" s="1">
        <v>0.7</v>
      </c>
      <c r="P97" s="1">
        <v>0</v>
      </c>
      <c r="Q97" s="1">
        <v>0.19</v>
      </c>
      <c r="S97" s="1" t="s">
        <v>94</v>
      </c>
      <c r="T97" s="1" t="s">
        <v>97</v>
      </c>
      <c r="U97" s="1">
        <v>10.5</v>
      </c>
      <c r="V97" s="1">
        <f t="shared" si="1"/>
        <v>0.80952380952380953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kyoungin kang</cp:lastModifiedBy>
  <dcterms:created xsi:type="dcterms:W3CDTF">2015-06-05T18:19:34Z</dcterms:created>
  <dcterms:modified xsi:type="dcterms:W3CDTF">2026-01-06T17:29:46Z</dcterms:modified>
</cp:coreProperties>
</file>